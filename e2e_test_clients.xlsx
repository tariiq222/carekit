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Cases" sheetId="1" state="visible" r:id="rId1"/>
    <sheet name="Summary Dashboard" sheetId="2" state="visible" r:id="rId2"/>
  </sheets>
  <definedNames>
    <definedName name="_xlnm._FilterDatabase" localSheetId="0" hidden="1">'E2E Test Cases'!$A$1:$P$1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2F5496"/>
      <sz val="14"/>
    </font>
    <font>
      <name val="Arial"/>
      <sz val="11"/>
    </font>
    <font>
      <name val="Arial"/>
      <color rgb="000000FF"/>
      <sz val="11"/>
    </font>
    <font>
      <name val="Arial"/>
      <b val="1"/>
      <sz val="11"/>
    </font>
    <font>
      <name val="Arial"/>
      <b val="1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pivotButton="0" quotePrefix="0" xfId="0"/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2" customWidth="1" min="4" max="4"/>
    <col width="40" customWidth="1" min="5" max="5"/>
    <col width="28" customWidth="1" min="6" max="6"/>
    <col width="40" customWidth="1" min="7" max="7"/>
    <col width="28" customWidth="1" min="8" max="8"/>
    <col width="40" customWidth="1" min="9" max="9"/>
    <col width="18" customWidth="1" min="10" max="10"/>
    <col width="10" customWidth="1" min="11" max="11"/>
    <col width="12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Case Title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Environment</t>
        </is>
      </c>
      <c r="N1" s="1" t="inlineStr">
        <is>
          <t>Executed By</t>
        </is>
      </c>
      <c r="O1" s="1" t="inlineStr">
        <is>
          <t>Execution Date</t>
        </is>
      </c>
      <c r="P1" s="1" t="inlineStr">
        <is>
          <t>Notes / Defect ID</t>
        </is>
      </c>
    </row>
    <row r="2" ht="90" customHeight="1">
      <c r="A2" t="inlineStr">
        <is>
          <t>CL-001</t>
        </is>
      </c>
      <c r="B2" t="inlineStr">
        <is>
          <t>Clients (العملاء)</t>
        </is>
      </c>
      <c r="C2" t="inlineStr">
        <is>
          <t>Positive</t>
        </is>
      </c>
      <c r="D2" s="8" t="inlineStr">
        <is>
          <t>إنشاء عميل walk-in بالبيانات الأساسية</t>
        </is>
      </c>
      <c r="E2" s="8" t="inlineStr">
        <is>
          <t>إنشاء عميل جديد (walk-in) بالحد الأدنى من الحقول (الاسم الأول + الأخير + الجوال)</t>
        </is>
      </c>
      <c r="F2" s="8" t="inlineStr">
        <is>
          <t>1. تسجيل دخول مستخدم بصلاحية إنشاء عميل
2. وجود مستأجر نشط (tenant)
3. لا يوجد عميل بنفس الجوال داخل نفس المستأجر</t>
        </is>
      </c>
      <c r="G2" s="8" t="inlineStr">
        <is>
          <t>1. افتح /clients
2. اضغط زر (إضافة مستفيد)
3. أدخل الاسم الأول: أحمد
4. أدخل الاسم الأخير: العلي
5. أدخل الجوال: +966501234567
6. اضغط (إضافة مستفيد)</t>
        </is>
      </c>
      <c r="H2" s="8" t="inlineStr">
        <is>
          <t>firstName=أحمد
lastName=العلي
phone=+966501234567</t>
        </is>
      </c>
      <c r="I2" s="8" t="inlineStr">
        <is>
          <t>1. POST /dashboard/people/clients يعيد 201
2. Toast نجاح: تم إضافة المستفيد
3. التوجيه إلى /clients
4. ظهور العميل الجديد في القائمة
5. accountType=WALK_IN افتراضياً
6. isActive=true افتراضياً
7. source=WALK_IN افتراضياً</t>
        </is>
      </c>
      <c r="K2" t="inlineStr">
        <is>
          <t>P1-High</t>
        </is>
      </c>
      <c r="L2" t="inlineStr">
        <is>
          <t>Not Started</t>
        </is>
      </c>
      <c r="M2" t="inlineStr">
        <is>
          <t>Staging</t>
        </is>
      </c>
      <c r="P2" s="8" t="n"/>
    </row>
    <row r="3">
      <c r="A3" t="inlineStr">
        <is>
          <t>CL-002</t>
        </is>
      </c>
      <c r="B3" t="inlineStr">
        <is>
          <t>Clients (العملاء)</t>
        </is>
      </c>
      <c r="C3" t="inlineStr">
        <is>
          <t>Positive</t>
        </is>
      </c>
      <c r="D3" s="8" t="inlineStr">
        <is>
          <t>إنشاء عميل بجميع الحقول الاختيارية</t>
        </is>
      </c>
      <c r="E3" s="8" t="inlineStr">
        <is>
          <t>إنشاء عميل بحقول كاملة (الجنس، الجنسية، فصيلة الدم، جهة اتصال طوارئ، ملاحظات طبية)</t>
        </is>
      </c>
      <c r="F3" s="8" t="inlineStr">
        <is>
          <t>1. مستخدم بصلاحية إنشاء
2. جوال فريد</t>
        </is>
      </c>
      <c r="G3" s="8" t="inlineStr">
        <is>
          <t>1. افتح /clients/create
2. املأ جميع الحقول (اسم، جوال، بريد، جنس، تاريخ ميلاد، جنسية، هوية، جهة طوارئ، فصيلة دم، حساسية، أمراض مزمنة)
3. اضغط حفظ</t>
        </is>
      </c>
      <c r="H3" s="8" t="inlineStr">
        <is>
          <t>الاسم+جوال صالح+email=a@b.com
gender=male
bloodType=O_POS
nationalId=1012345678</t>
        </is>
      </c>
      <c r="I3" s="8" t="inlineStr">
        <is>
          <t>1. 201 Created
2. تخزين جميع الحقول
3. name يُركّب من firstName+middleName+lastName
4. Toast نجاح</t>
        </is>
      </c>
      <c r="K3" t="inlineStr">
        <is>
          <t>P1-High</t>
        </is>
      </c>
      <c r="L3" t="inlineStr">
        <is>
          <t>Not Started</t>
        </is>
      </c>
      <c r="M3" t="inlineStr">
        <is>
          <t>Staging</t>
        </is>
      </c>
      <c r="P3" s="8" t="n"/>
    </row>
    <row r="4">
      <c r="A4" t="inlineStr">
        <is>
          <t>CL-003</t>
        </is>
      </c>
      <c r="B4" t="inlineStr">
        <is>
          <t>Clients (العملاء)</t>
        </is>
      </c>
      <c r="C4" t="inlineStr">
        <is>
          <t>Positive</t>
        </is>
      </c>
      <c r="D4" s="8" t="inlineStr">
        <is>
          <t>إنشاء عميل - phone يعود isExisting=true</t>
        </is>
      </c>
      <c r="E4" s="8" t="inlineStr">
        <is>
          <t>إدخال جوال مستخدم مسبقاً لعميل موجود - يجب التعامل معه كربط لا إنشاء</t>
        </is>
      </c>
      <c r="F4" s="8" t="inlineStr">
        <is>
          <t>وجود عميل سابق بنفس الجوال (غير محذوف)</t>
        </is>
      </c>
      <c r="G4" s="8" t="inlineStr">
        <is>
          <t>1. افتح /clients/create
2. أدخل جوال عميل مسجّل مسبقاً
3. اضغط حفظ</t>
        </is>
      </c>
      <c r="H4" s="8" t="inlineStr">
        <is>
          <t>phone=+966501111111 (موجود مسبقاً)</t>
        </is>
      </c>
      <c r="I4" s="8" t="inlineStr">
        <is>
          <t>1. Toast: المستفيد مسجّل مسبقاً (info)
2. التوجيه إلى /clients
3. لا يتم إنشاء عميل مكرر</t>
        </is>
      </c>
      <c r="K4" t="inlineStr">
        <is>
          <t>P1-High</t>
        </is>
      </c>
      <c r="L4" t="inlineStr">
        <is>
          <t>Not Started</t>
        </is>
      </c>
      <c r="M4" t="inlineStr">
        <is>
          <t>Staging</t>
        </is>
      </c>
      <c r="P4" s="8" t="n"/>
    </row>
    <row r="5">
      <c r="A5" t="inlineStr">
        <is>
          <t>CL-004</t>
        </is>
      </c>
      <c r="B5" t="inlineStr">
        <is>
          <t>Clients (العملاء)</t>
        </is>
      </c>
      <c r="C5" t="inlineStr">
        <is>
          <t>Negative</t>
        </is>
      </c>
      <c r="D5" s="8" t="inlineStr">
        <is>
          <t>إنشاء - جوال بصيغة خاطئة (بدون +966)</t>
        </is>
      </c>
      <c r="E5" s="8" t="inlineStr">
        <is>
          <t>محاولة إنشاء عميل بصيغة جوال غير سعودية</t>
        </is>
      </c>
      <c r="F5" s="8" t="inlineStr">
        <is>
          <t>مستخدم مسجّل الدخول</t>
        </is>
      </c>
      <c r="G5" s="8" t="inlineStr">
        <is>
          <t>1. افتح /clients/create
2. أدخل الاسم
3. أدخل الجوال: 0501234567
4. اضغط حفظ</t>
        </is>
      </c>
      <c r="H5" s="8" t="inlineStr">
        <is>
          <t>phone=0501234567</t>
        </is>
      </c>
      <c r="I5" s="8" t="inlineStr">
        <is>
          <t>1. رسالة خطأ تحت الحقل: رقم سعودي غير صحيح — مثال +966501234567
2. لا يتم إرسال الطلب للخادم
3. البقاء في نفس الصفحة</t>
        </is>
      </c>
      <c r="K5" t="inlineStr">
        <is>
          <t>P1-High</t>
        </is>
      </c>
      <c r="L5" t="inlineStr">
        <is>
          <t>Not Started</t>
        </is>
      </c>
      <c r="M5" t="inlineStr">
        <is>
          <t>Staging</t>
        </is>
      </c>
      <c r="P5" s="8" t="n"/>
    </row>
    <row r="6">
      <c r="A6" t="inlineStr">
        <is>
          <t>CL-005</t>
        </is>
      </c>
      <c r="B6" t="inlineStr">
        <is>
          <t>Clients (العملاء)</t>
        </is>
      </c>
      <c r="C6" t="inlineStr">
        <is>
          <t>Negative</t>
        </is>
      </c>
      <c r="D6" s="8" t="inlineStr">
        <is>
          <t>إنشاء - جوال بصيغة +966 لكن بدون 5 بعد 966</t>
        </is>
      </c>
      <c r="E6" s="8" t="inlineStr">
        <is>
          <t>regex لا يقبل إلا +9665XXXXXXXX</t>
        </is>
      </c>
      <c r="F6" s="8" t="inlineStr">
        <is>
          <t>—</t>
        </is>
      </c>
      <c r="G6" s="8" t="inlineStr">
        <is>
          <t>1. أدخل جوال: +966401234567
2. احفظ</t>
        </is>
      </c>
      <c r="H6" s="8" t="inlineStr">
        <is>
          <t>phone=+966401234567</t>
        </is>
      </c>
      <c r="I6" s="8" t="inlineStr">
        <is>
          <t>1. خطأ Zod: رقم سعودي غير صحيح
2. عدم إرسال الطلب</t>
        </is>
      </c>
      <c r="K6" t="inlineStr">
        <is>
          <t>P2-Medium</t>
        </is>
      </c>
      <c r="L6" t="inlineStr">
        <is>
          <t>Not Started</t>
        </is>
      </c>
      <c r="M6" t="inlineStr">
        <is>
          <t>Staging</t>
        </is>
      </c>
      <c r="P6" s="8" t="n"/>
    </row>
    <row r="7">
      <c r="A7" t="inlineStr">
        <is>
          <t>CL-006</t>
        </is>
      </c>
      <c r="B7" t="inlineStr">
        <is>
          <t>Clients (العملاء)</t>
        </is>
      </c>
      <c r="C7" t="inlineStr">
        <is>
          <t>Negative</t>
        </is>
      </c>
      <c r="D7" s="8" t="inlineStr">
        <is>
          <t>إنشاء - جوال طويل/قصير</t>
        </is>
      </c>
      <c r="E7" s="8" t="inlineStr">
        <is>
          <t>أرقام ليست 13 حرفاً إجمالاً</t>
        </is>
      </c>
      <c r="F7" s="8" t="inlineStr">
        <is>
          <t>—</t>
        </is>
      </c>
      <c r="G7" s="8" t="inlineStr">
        <is>
          <t>1. أدخل +9665123456789 (زائد رقم)
2. أو +96650123456 (ناقص)
3. احفظ</t>
        </is>
      </c>
      <c r="H7" s="8" t="inlineStr">
        <is>
          <t>phone=+9665123456789 أو +96650123456</t>
        </is>
      </c>
      <c r="I7" s="8" t="inlineStr">
        <is>
          <t>1. خطأ regex تحت الحقل
2. زر الحفظ لا يرسل الطلب</t>
        </is>
      </c>
      <c r="K7" t="inlineStr">
        <is>
          <t>P2-Medium</t>
        </is>
      </c>
      <c r="L7" t="inlineStr">
        <is>
          <t>Not Started</t>
        </is>
      </c>
      <c r="M7" t="inlineStr">
        <is>
          <t>Staging</t>
        </is>
      </c>
      <c r="P7" s="8" t="n"/>
    </row>
    <row r="8">
      <c r="A8" t="inlineStr">
        <is>
          <t>CL-007</t>
        </is>
      </c>
      <c r="B8" t="inlineStr">
        <is>
          <t>Clients (العملاء)</t>
        </is>
      </c>
      <c r="C8" t="inlineStr">
        <is>
          <t>Negative</t>
        </is>
      </c>
      <c r="D8" s="8" t="inlineStr">
        <is>
          <t>إنشاء - جوال مكرر في نفس المستأجر (Conflict 409)</t>
        </is>
      </c>
      <c r="E8" s="8" t="inlineStr">
        <is>
          <t>backend يرمي 409 إذا كان الجوال موجوداً (الواجهة تعامله كـ isExisting)</t>
        </is>
      </c>
      <c r="F8" s="8" t="inlineStr">
        <is>
          <t>عميل نشط بجوال X</t>
        </is>
      </c>
      <c r="G8" s="8" t="inlineStr">
        <is>
          <t>1. من Postman أو عبر التجاوز: أرسل POST بنفس الجوال</t>
        </is>
      </c>
      <c r="H8" s="8" t="inlineStr">
        <is>
          <t>phone مكرر</t>
        </is>
      </c>
      <c r="I8" s="8" t="inlineStr">
        <is>
          <t>1. backend: 409 Conflict أو 200 مع isExisting=true (حسب المنطق)
2. UI: Toast معلوماتي
3. لا يُنشأ سجل مكرر</t>
        </is>
      </c>
      <c r="K8" t="inlineStr">
        <is>
          <t>P1-High</t>
        </is>
      </c>
      <c r="L8" t="inlineStr">
        <is>
          <t>Not Started</t>
        </is>
      </c>
      <c r="M8" t="inlineStr">
        <is>
          <t>Staging</t>
        </is>
      </c>
      <c r="P8" s="8" t="n"/>
    </row>
    <row r="9">
      <c r="A9" t="inlineStr">
        <is>
          <t>CL-008</t>
        </is>
      </c>
      <c r="B9" t="inlineStr">
        <is>
          <t>Clients (العملاء)</t>
        </is>
      </c>
      <c r="C9" t="inlineStr">
        <is>
          <t>Negative</t>
        </is>
      </c>
      <c r="D9" s="8" t="inlineStr">
        <is>
          <t>إنشاء - firstName فارغ</t>
        </is>
      </c>
      <c r="E9" s="8" t="inlineStr">
        <is>
          <t>الاسم الأول مطلوب (min(1))</t>
        </is>
      </c>
      <c r="F9" s="8" t="inlineStr">
        <is>
          <t>—</t>
        </is>
      </c>
      <c r="G9" s="8" t="inlineStr">
        <is>
          <t>1. اترك firstName فارغاً
2. املأ الباقي
3. احفظ</t>
        </is>
      </c>
      <c r="H9" s="8" t="inlineStr">
        <is>
          <t>firstName=""</t>
        </is>
      </c>
      <c r="I9" s="8" t="inlineStr">
        <is>
          <t>1. خطأ Zod تحت الحقل
2. عدم إرسال الطلب</t>
        </is>
      </c>
      <c r="K9" t="inlineStr">
        <is>
          <t>P1-High</t>
        </is>
      </c>
      <c r="L9" t="inlineStr">
        <is>
          <t>Not Started</t>
        </is>
      </c>
      <c r="M9" t="inlineStr">
        <is>
          <t>Staging</t>
        </is>
      </c>
      <c r="P9" s="8" t="n"/>
    </row>
    <row r="10">
      <c r="A10" t="inlineStr">
        <is>
          <t>CL-009</t>
        </is>
      </c>
      <c r="B10" t="inlineStr">
        <is>
          <t>Clients (العملاء)</t>
        </is>
      </c>
      <c r="C10" t="inlineStr">
        <is>
          <t>Negative</t>
        </is>
      </c>
      <c r="D10" s="8" t="inlineStr">
        <is>
          <t>إنشاء - lastName فارغ</t>
        </is>
      </c>
      <c r="E10" s="8" t="inlineStr">
        <is>
          <t>الاسم الأخير مطلوب</t>
        </is>
      </c>
      <c r="F10" s="8" t="inlineStr">
        <is>
          <t>—</t>
        </is>
      </c>
      <c r="G10" s="8" t="inlineStr">
        <is>
          <t>1. اترك lastName فارغاً
2. احفظ</t>
        </is>
      </c>
      <c r="H10" s="8" t="inlineStr">
        <is>
          <t>lastName=""</t>
        </is>
      </c>
      <c r="I10" s="8" t="inlineStr">
        <is>
          <t>1. خطأ Zod: الحقل مطلوب
2. عدم إرسال</t>
        </is>
      </c>
      <c r="K10" t="inlineStr">
        <is>
          <t>P1-High</t>
        </is>
      </c>
      <c r="L10" t="inlineStr">
        <is>
          <t>Not Started</t>
        </is>
      </c>
      <c r="M10" t="inlineStr">
        <is>
          <t>Staging</t>
        </is>
      </c>
      <c r="P10" s="8" t="n"/>
    </row>
    <row r="11">
      <c r="A11" t="inlineStr">
        <is>
          <t>CL-010</t>
        </is>
      </c>
      <c r="B11" t="inlineStr">
        <is>
          <t>Clients (العملاء)</t>
        </is>
      </c>
      <c r="C11" t="inlineStr">
        <is>
          <t>Negative</t>
        </is>
      </c>
      <c r="D11" s="8" t="inlineStr">
        <is>
          <t>إنشاء - firstName يتجاوز 255 حرف</t>
        </is>
      </c>
      <c r="E11" s="8" t="inlineStr">
        <is>
          <t>max length 255</t>
        </is>
      </c>
      <c r="F11" s="8" t="inlineStr">
        <is>
          <t>—</t>
        </is>
      </c>
      <c r="G11" s="8" t="inlineStr">
        <is>
          <t>1. أدخل 256 حرف في firstName
2. احفظ</t>
        </is>
      </c>
      <c r="H11" s="8" t="inlineStr">
        <is>
          <t>firstName="a"*256</t>
        </is>
      </c>
      <c r="I11" s="8" t="inlineStr">
        <is>
          <t>1. خطأ Zod: تجاوز الطول
2. عدم إرسال</t>
        </is>
      </c>
      <c r="K11" t="inlineStr">
        <is>
          <t>P3-Low</t>
        </is>
      </c>
      <c r="L11" t="inlineStr">
        <is>
          <t>Not Started</t>
        </is>
      </c>
      <c r="M11" t="inlineStr">
        <is>
          <t>Staging</t>
        </is>
      </c>
      <c r="P11" s="8" t="n"/>
    </row>
    <row r="12">
      <c r="A12" t="inlineStr">
        <is>
          <t>CL-011</t>
        </is>
      </c>
      <c r="B12" t="inlineStr">
        <is>
          <t>Clients (العملاء)</t>
        </is>
      </c>
      <c r="C12" t="inlineStr">
        <is>
          <t>Negative</t>
        </is>
      </c>
      <c r="D12" s="8" t="inlineStr">
        <is>
          <t>إنشاء - email بصيغة خاطئة</t>
        </is>
      </c>
      <c r="E12" s="8" t="inlineStr">
        <is>
          <t>تحقق email format</t>
        </is>
      </c>
      <c r="F12" s="8" t="inlineStr">
        <is>
          <t>—</t>
        </is>
      </c>
      <c r="G12" s="8" t="inlineStr">
        <is>
          <t>1. أدخل email=not-an-email
2. احفظ</t>
        </is>
      </c>
      <c r="H12" s="8" t="inlineStr">
        <is>
          <t>email=not-an-email</t>
        </is>
      </c>
      <c r="I12" s="8" t="inlineStr">
        <is>
          <t>1. خطأ تحت الحقل
2. عدم إرسال</t>
        </is>
      </c>
      <c r="K12" t="inlineStr">
        <is>
          <t>P2-Medium</t>
        </is>
      </c>
      <c r="L12" t="inlineStr">
        <is>
          <t>Not Started</t>
        </is>
      </c>
      <c r="M12" t="inlineStr">
        <is>
          <t>Staging</t>
        </is>
      </c>
      <c r="P12" s="8" t="n"/>
    </row>
    <row r="13">
      <c r="A13" t="inlineStr">
        <is>
          <t>CL-012</t>
        </is>
      </c>
      <c r="B13" t="inlineStr">
        <is>
          <t>Clients (العملاء)</t>
        </is>
      </c>
      <c r="C13" t="inlineStr">
        <is>
          <t>Negative</t>
        </is>
      </c>
      <c r="D13" s="8" t="inlineStr">
        <is>
          <t>إنشاء - dateOfBirth بالمستقبل</t>
        </is>
      </c>
      <c r="E13" s="8" t="inlineStr">
        <is>
          <t>DatePicker يحد maxDate بتاريخ اليوم</t>
        </is>
      </c>
      <c r="F13" s="8" t="inlineStr">
        <is>
          <t>—</t>
        </is>
      </c>
      <c r="G13" s="8" t="inlineStr">
        <is>
          <t>1. افتح DatePicker لتاريخ الميلاد
2. حاول اختيار تاريخ مستقبلي</t>
        </is>
      </c>
      <c r="H13" s="8" t="inlineStr">
        <is>
          <t>dateOfBirth=2030-01-01</t>
        </is>
      </c>
      <c r="I13" s="8" t="inlineStr">
        <is>
          <t>1. DatePicker يمنع الاختيار
2. لا يتم تحديث الحقل</t>
        </is>
      </c>
      <c r="K13" t="inlineStr">
        <is>
          <t>P2-Medium</t>
        </is>
      </c>
      <c r="L13" t="inlineStr">
        <is>
          <t>Not Started</t>
        </is>
      </c>
      <c r="M13" t="inlineStr">
        <is>
          <t>Staging</t>
        </is>
      </c>
      <c r="P13" s="8" t="n"/>
    </row>
    <row r="14">
      <c r="A14" t="inlineStr">
        <is>
          <t>CL-013</t>
        </is>
      </c>
      <c r="B14" t="inlineStr">
        <is>
          <t>Clients (العملاء)</t>
        </is>
      </c>
      <c r="C14" t="inlineStr">
        <is>
          <t>Negative</t>
        </is>
      </c>
      <c r="D14" s="8" t="inlineStr">
        <is>
          <t>إنشاء - gender enum غير صالح</t>
        </is>
      </c>
      <c r="E14" s="8" t="inlineStr">
        <is>
          <t>gender يجب MALE أو FEMALE</t>
        </is>
      </c>
      <c r="F14" s="8" t="inlineStr">
        <is>
          <t>—</t>
        </is>
      </c>
      <c r="G14" s="8" t="inlineStr">
        <is>
          <t>1. عبر الـ API: أرسل gender=OTHER</t>
        </is>
      </c>
      <c r="H14" s="8" t="inlineStr">
        <is>
          <t>gender=OTHER</t>
        </is>
      </c>
      <c r="I14" s="8" t="inlineStr">
        <is>
          <t>1. 400 Bad Request من backend
2. رسالة خطأ enum</t>
        </is>
      </c>
      <c r="K14" t="inlineStr">
        <is>
          <t>P2-Medium</t>
        </is>
      </c>
      <c r="L14" t="inlineStr">
        <is>
          <t>Not Started</t>
        </is>
      </c>
      <c r="M14" t="inlineStr">
        <is>
          <t>Staging</t>
        </is>
      </c>
      <c r="P14" s="8" t="n"/>
    </row>
    <row r="15">
      <c r="A15" t="inlineStr">
        <is>
          <t>CL-014</t>
        </is>
      </c>
      <c r="B15" t="inlineStr">
        <is>
          <t>Clients (العملاء)</t>
        </is>
      </c>
      <c r="C15" t="inlineStr">
        <is>
          <t>Negative</t>
        </is>
      </c>
      <c r="D15" s="8" t="inlineStr">
        <is>
          <t>إنشاء - bloodType غير موجود في الـ enum</t>
        </is>
      </c>
      <c r="E15" s="8" t="inlineStr">
        <is>
          <t>Invalid blood type</t>
        </is>
      </c>
      <c r="F15" s="8" t="inlineStr">
        <is>
          <t>—</t>
        </is>
      </c>
      <c r="G15" s="8" t="inlineStr">
        <is>
          <t>1. عبر الـ API: أرسل bloodType=XX</t>
        </is>
      </c>
      <c r="H15" s="8" t="inlineStr">
        <is>
          <t>bloodType=XX</t>
        </is>
      </c>
      <c r="I15" s="8" t="inlineStr">
        <is>
          <t>1. 400 Bad Request
2. Validation error</t>
        </is>
      </c>
      <c r="K15" t="inlineStr">
        <is>
          <t>P3-Low</t>
        </is>
      </c>
      <c r="L15" t="inlineStr">
        <is>
          <t>Not Started</t>
        </is>
      </c>
      <c r="M15" t="inlineStr">
        <is>
          <t>Staging</t>
        </is>
      </c>
      <c r="P15" s="8" t="n"/>
    </row>
    <row r="16">
      <c r="A16" t="inlineStr">
        <is>
          <t>CL-015</t>
        </is>
      </c>
      <c r="B16" t="inlineStr">
        <is>
          <t>Clients (العملاء)</t>
        </is>
      </c>
      <c r="C16" t="inlineStr">
        <is>
          <t>Negative</t>
        </is>
      </c>
      <c r="D16" s="8" t="inlineStr">
        <is>
          <t>إنشاء - nationalId يتجاوز 20 حرف</t>
        </is>
      </c>
      <c r="E16" s="8" t="inlineStr">
        <is>
          <t>max 20</t>
        </is>
      </c>
      <c r="F16" s="8" t="inlineStr">
        <is>
          <t>—</t>
        </is>
      </c>
      <c r="G16" s="8" t="inlineStr">
        <is>
          <t>1. أدخل nationalId="1"*21
2. احفظ</t>
        </is>
      </c>
      <c r="H16" s="8" t="inlineStr">
        <is>
          <t>nationalId طول 21</t>
        </is>
      </c>
      <c r="I16" s="8" t="inlineStr">
        <is>
          <t>1. خطأ Zod
2. عدم إرسال</t>
        </is>
      </c>
      <c r="K16" t="inlineStr">
        <is>
          <t>P3-Low</t>
        </is>
      </c>
      <c r="L16" t="inlineStr">
        <is>
          <t>Not Started</t>
        </is>
      </c>
      <c r="M16" t="inlineStr">
        <is>
          <t>Staging</t>
        </is>
      </c>
      <c r="P16" s="8" t="n"/>
    </row>
    <row r="17">
      <c r="A17" t="inlineStr">
        <is>
          <t>CL-016</t>
        </is>
      </c>
      <c r="B17" t="inlineStr">
        <is>
          <t>Clients (العملاء)</t>
        </is>
      </c>
      <c r="C17" t="inlineStr">
        <is>
          <t>Negative</t>
        </is>
      </c>
      <c r="D17" s="8" t="inlineStr">
        <is>
          <t>إنشاء - allergies &gt; 1000 حرف</t>
        </is>
      </c>
      <c r="E17" s="8" t="inlineStr">
        <is>
          <t>max 1000</t>
        </is>
      </c>
      <c r="F17" s="8" t="inlineStr">
        <is>
          <t>—</t>
        </is>
      </c>
      <c r="G17" s="8" t="inlineStr">
        <is>
          <t>1. أدخل حساسية بـ 1001 حرف
2. احفظ</t>
        </is>
      </c>
      <c r="H17" s="8" t="inlineStr">
        <is>
          <t>allergies طوله 1001</t>
        </is>
      </c>
      <c r="I17" s="8" t="inlineStr">
        <is>
          <t>1. خطأ تحت الحقل
2. عدم إرسال</t>
        </is>
      </c>
      <c r="K17" t="inlineStr">
        <is>
          <t>P3-Low</t>
        </is>
      </c>
      <c r="L17" t="inlineStr">
        <is>
          <t>Not Started</t>
        </is>
      </c>
      <c r="M17" t="inlineStr">
        <is>
          <t>Staging</t>
        </is>
      </c>
      <c r="P17" s="8" t="n"/>
    </row>
    <row r="18">
      <c r="A18" t="inlineStr">
        <is>
          <t>CL-017</t>
        </is>
      </c>
      <c r="B18" t="inlineStr">
        <is>
          <t>Clients (العملاء)</t>
        </is>
      </c>
      <c r="C18" t="inlineStr">
        <is>
          <t>Negative</t>
        </is>
      </c>
      <c r="D18" s="8" t="inlineStr">
        <is>
          <t>إنشاء - notes &gt; 2000 حرف (backend)</t>
        </is>
      </c>
      <c r="E18" s="8" t="inlineStr">
        <is>
          <t>max 2000</t>
        </is>
      </c>
      <c r="F18" s="8" t="inlineStr">
        <is>
          <t>—</t>
        </is>
      </c>
      <c r="G18" s="8" t="inlineStr">
        <is>
          <t>1. API: notes طول 2001</t>
        </is>
      </c>
      <c r="H18" s="8" t="inlineStr">
        <is>
          <t>notes طوله 2001</t>
        </is>
      </c>
      <c r="I18" s="8" t="inlineStr">
        <is>
          <t>1. 400 Bad Request</t>
        </is>
      </c>
      <c r="K18" t="inlineStr">
        <is>
          <t>P3-Low</t>
        </is>
      </c>
      <c r="L18" t="inlineStr">
        <is>
          <t>Not Started</t>
        </is>
      </c>
      <c r="M18" t="inlineStr">
        <is>
          <t>Staging</t>
        </is>
      </c>
      <c r="P18" s="8" t="n"/>
    </row>
    <row r="19">
      <c r="A19" t="inlineStr">
        <is>
          <t>CL-018</t>
        </is>
      </c>
      <c r="B19" t="inlineStr">
        <is>
          <t>Clients (العملاء)</t>
        </is>
      </c>
      <c r="C19" t="inlineStr">
        <is>
          <t>Negative</t>
        </is>
      </c>
      <c r="D19" s="8" t="inlineStr">
        <is>
          <t>إنشاء - emergencyPhone بصيغة خاطئة</t>
        </is>
      </c>
      <c r="E19" s="8" t="inlineStr">
        <is>
          <t>نفس regex للجوال</t>
        </is>
      </c>
      <c r="F19" s="8" t="inlineStr">
        <is>
          <t>—</t>
        </is>
      </c>
      <c r="G19" s="8" t="inlineStr">
        <is>
          <t>1. أدخل emergencyPhone=0501234567
2. احفظ</t>
        </is>
      </c>
      <c r="H19" s="8" t="inlineStr">
        <is>
          <t>emergencyPhone=0501234567</t>
        </is>
      </c>
      <c r="I19" s="8" t="inlineStr">
        <is>
          <t>1. خطأ تحت الحقل
2. عدم إرسال</t>
        </is>
      </c>
      <c r="K19" t="inlineStr">
        <is>
          <t>P2-Medium</t>
        </is>
      </c>
      <c r="L19" t="inlineStr">
        <is>
          <t>Not Started</t>
        </is>
      </c>
      <c r="M19" t="inlineStr">
        <is>
          <t>Staging</t>
        </is>
      </c>
      <c r="P19" s="8" t="n"/>
    </row>
    <row r="20">
      <c r="A20" t="inlineStr">
        <is>
          <t>CL-019</t>
        </is>
      </c>
      <c r="B20" t="inlineStr">
        <is>
          <t>Clients (العملاء)</t>
        </is>
      </c>
      <c r="C20" t="inlineStr">
        <is>
          <t>Negative</t>
        </is>
      </c>
      <c r="D20" s="8" t="inlineStr">
        <is>
          <t>إنشاء - بدون تسجيل دخول (401)</t>
        </is>
      </c>
      <c r="E20" s="8" t="inlineStr">
        <is>
          <t>يجب JWT صالح</t>
        </is>
      </c>
      <c r="F20" s="8" t="inlineStr">
        <is>
          <t>الخروج من الحساب</t>
        </is>
      </c>
      <c r="G20" s="8" t="inlineStr">
        <is>
          <t>1. API مباشر: POST /dashboard/people/clients دون Bearer</t>
        </is>
      </c>
      <c r="H20" s="8" t="inlineStr">
        <is>
          <t>no Authorization header</t>
        </is>
      </c>
      <c r="I20" s="8" t="inlineStr">
        <is>
          <t>1. 401 Unauthorized
2. UI: إعادة توجيه إلى تسجيل الدخول</t>
        </is>
      </c>
      <c r="K20" t="inlineStr">
        <is>
          <t>P1-High</t>
        </is>
      </c>
      <c r="L20" t="inlineStr">
        <is>
          <t>Not Started</t>
        </is>
      </c>
      <c r="M20" t="inlineStr">
        <is>
          <t>Staging</t>
        </is>
      </c>
      <c r="P20" s="8" t="n"/>
    </row>
    <row r="21">
      <c r="A21" t="inlineStr">
        <is>
          <t>CL-020</t>
        </is>
      </c>
      <c r="B21" t="inlineStr">
        <is>
          <t>Clients (العملاء)</t>
        </is>
      </c>
      <c r="C21" t="inlineStr">
        <is>
          <t>Negative</t>
        </is>
      </c>
      <c r="D21" s="8" t="inlineStr">
        <is>
          <t>إنشاء - مستخدم بدون صلاحية (403)</t>
        </is>
      </c>
      <c r="E21" s="8" t="inlineStr">
        <is>
          <t>CASL guard يمنع</t>
        </is>
      </c>
      <c r="F21" s="8" t="inlineStr">
        <is>
          <t>مستخدم بدور بدون صلاحية create client</t>
        </is>
      </c>
      <c r="G21" s="8" t="inlineStr">
        <is>
          <t>1. تسجيل دخول بمستخدم محدود
2. محاولة إنشاء عميل</t>
        </is>
      </c>
      <c r="H21" s="8" t="inlineStr">
        <is>
          <t>—</t>
        </is>
      </c>
      <c r="I21" s="8" t="inlineStr">
        <is>
          <t>1. 403 Forbidden
2. Toast خطأ</t>
        </is>
      </c>
      <c r="K21" t="inlineStr">
        <is>
          <t>P1-High</t>
        </is>
      </c>
      <c r="L21" t="inlineStr">
        <is>
          <t>Not Started</t>
        </is>
      </c>
      <c r="M21" t="inlineStr">
        <is>
          <t>Staging</t>
        </is>
      </c>
      <c r="P21" s="8" t="n"/>
    </row>
    <row r="22">
      <c r="A22" t="inlineStr">
        <is>
          <t>CL-021</t>
        </is>
      </c>
      <c r="B22" t="inlineStr">
        <is>
          <t>Clients (العملاء)</t>
        </is>
      </c>
      <c r="C22" t="inlineStr">
        <is>
          <t>Positive</t>
        </is>
      </c>
      <c r="D22" s="8" t="inlineStr">
        <is>
          <t>تعديل حقل واحد فقط (firstName)</t>
        </is>
      </c>
      <c r="E22" s="8" t="inlineStr">
        <is>
          <t>تحديث جزئي (PATCH)</t>
        </is>
      </c>
      <c r="F22" s="8" t="inlineStr">
        <is>
          <t>عميل موجود</t>
        </is>
      </c>
      <c r="G22" s="8" t="inlineStr">
        <is>
          <t>1. افتح /clients/[id]/edit
2. غيّر firstName فقط
3. احفظ</t>
        </is>
      </c>
      <c r="H22" s="8" t="inlineStr">
        <is>
          <t>firstName=محمد</t>
        </is>
      </c>
      <c r="I22" s="8" t="inlineStr">
        <is>
          <t>1. 200 OK
2. Toast: تم حفظ التعديلات
3. التوجيه لـ /clients
4. إعادة تركيب name</t>
        </is>
      </c>
      <c r="K22" t="inlineStr">
        <is>
          <t>P1-High</t>
        </is>
      </c>
      <c r="L22" t="inlineStr">
        <is>
          <t>Not Started</t>
        </is>
      </c>
      <c r="M22" t="inlineStr">
        <is>
          <t>Staging</t>
        </is>
      </c>
      <c r="P22" s="8" t="n"/>
    </row>
    <row r="23">
      <c r="A23" t="inlineStr">
        <is>
          <t>CL-022</t>
        </is>
      </c>
      <c r="B23" t="inlineStr">
        <is>
          <t>Clients (العملاء)</t>
        </is>
      </c>
      <c r="C23" t="inlineStr">
        <is>
          <t>Positive</t>
        </is>
      </c>
      <c r="D23" s="8" t="inlineStr">
        <is>
          <t>تعديل جميع الحقول + تفعيل الحساب</t>
        </is>
      </c>
      <c r="E23" s="8" t="inlineStr">
        <is>
          <t>Switch isActive يعمل</t>
        </is>
      </c>
      <c r="F23" s="8" t="inlineStr">
        <is>
          <t>عميل غير نشط</t>
        </is>
      </c>
      <c r="G23" s="8" t="inlineStr">
        <is>
          <t>1. افتح edit
2. فعّل Switch (isActive)
3. احفظ</t>
        </is>
      </c>
      <c r="H23" s="8" t="inlineStr">
        <is>
          <t>isActive=true</t>
        </is>
      </c>
      <c r="I23" s="8" t="inlineStr">
        <is>
          <t>1. 200
2. status badge يتغير للنشط في القائمة</t>
        </is>
      </c>
      <c r="K23" t="inlineStr">
        <is>
          <t>P1-High</t>
        </is>
      </c>
      <c r="L23" t="inlineStr">
        <is>
          <t>Not Started</t>
        </is>
      </c>
      <c r="M23" t="inlineStr">
        <is>
          <t>Staging</t>
        </is>
      </c>
      <c r="P23" s="8" t="n"/>
    </row>
    <row r="24">
      <c r="A24" t="inlineStr">
        <is>
          <t>CL-023</t>
        </is>
      </c>
      <c r="B24" t="inlineStr">
        <is>
          <t>Clients (العملاء)</t>
        </is>
      </c>
      <c r="C24" t="inlineStr">
        <is>
          <t>Positive</t>
        </is>
      </c>
      <c r="D24" s="8" t="inlineStr">
        <is>
          <t>تعديل الجوال إلى قيمة فريدة</t>
        </is>
      </c>
      <c r="E24" s="8" t="inlineStr">
        <is>
          <t>يسمح بتغيير الجوال إلى قيمة غير مستخدمة</t>
        </is>
      </c>
      <c r="F24" s="8" t="inlineStr">
        <is>
          <t>عميل موجود + جوال جديد غير مكرر</t>
        </is>
      </c>
      <c r="G24" s="8" t="inlineStr">
        <is>
          <t>1. افتح edit
2. غيّر الجوال
3. احفظ</t>
        </is>
      </c>
      <c r="H24" s="8" t="inlineStr">
        <is>
          <t>phone=+966509999999</t>
        </is>
      </c>
      <c r="I24" s="8" t="inlineStr">
        <is>
          <t>1. 200 OK
2. فحص التكرار يمر
3. الجوال القديم محرّر</t>
        </is>
      </c>
      <c r="K24" t="inlineStr">
        <is>
          <t>P1-High</t>
        </is>
      </c>
      <c r="L24" t="inlineStr">
        <is>
          <t>Not Started</t>
        </is>
      </c>
      <c r="M24" t="inlineStr">
        <is>
          <t>Staging</t>
        </is>
      </c>
      <c r="P24" s="8" t="n"/>
    </row>
    <row r="25">
      <c r="A25" t="inlineStr">
        <is>
          <t>CL-024</t>
        </is>
      </c>
      <c r="B25" t="inlineStr">
        <is>
          <t>Clients (العملاء)</t>
        </is>
      </c>
      <c r="C25" t="inlineStr">
        <is>
          <t>Positive</t>
        </is>
      </c>
      <c r="D25" s="8" t="inlineStr">
        <is>
          <t>تعديل - إبقاء نفس الجوال (skip duplicate check)</t>
        </is>
      </c>
      <c r="E25" s="8" t="inlineStr">
        <is>
          <t>handler يتخطى فحص التكرار إذا لم يتغير الجوال</t>
        </is>
      </c>
      <c r="F25" s="8" t="inlineStr">
        <is>
          <t>—</t>
        </is>
      </c>
      <c r="G25" s="8" t="inlineStr">
        <is>
          <t>1. edit
2. لا تغيّر الجوال
3. احفظ</t>
        </is>
      </c>
      <c r="H25" s="8" t="inlineStr">
        <is>
          <t>phone=نفس القديم</t>
        </is>
      </c>
      <c r="I25" s="8" t="inlineStr">
        <is>
          <t>1. 200 OK
2. لا Conflict</t>
        </is>
      </c>
      <c r="K25" t="inlineStr">
        <is>
          <t>P2-Medium</t>
        </is>
      </c>
      <c r="L25" t="inlineStr">
        <is>
          <t>Not Started</t>
        </is>
      </c>
      <c r="M25" t="inlineStr">
        <is>
          <t>Staging</t>
        </is>
      </c>
      <c r="P25" s="8" t="n"/>
    </row>
    <row r="26">
      <c r="A26" t="inlineStr">
        <is>
          <t>CL-025</t>
        </is>
      </c>
      <c r="B26" t="inlineStr">
        <is>
          <t>Clients (العملاء)</t>
        </is>
      </c>
      <c r="C26" t="inlineStr">
        <is>
          <t>Positive</t>
        </is>
      </c>
      <c r="D26" s="8" t="inlineStr">
        <is>
          <t>تعديل - مسح حقل اختياري (set null)</t>
        </is>
      </c>
      <c r="E26" s="8" t="inlineStr">
        <is>
          <t>يمكن صراحة null لمسح القيمة</t>
        </is>
      </c>
      <c r="F26" s="8" t="inlineStr">
        <is>
          <t>عميل فيه notes سابقة</t>
        </is>
      </c>
      <c r="G26" s="8" t="inlineStr">
        <is>
          <t>1. edit
2. امسح حقل notes
3. احفظ</t>
        </is>
      </c>
      <c r="H26" s="8" t="inlineStr">
        <is>
          <t>notes="" -&gt; null</t>
        </is>
      </c>
      <c r="I26" s="8" t="inlineStr">
        <is>
          <t>1. 200
2. notes=null في DB</t>
        </is>
      </c>
      <c r="K26" t="inlineStr">
        <is>
          <t>P2-Medium</t>
        </is>
      </c>
      <c r="L26" t="inlineStr">
        <is>
          <t>Not Started</t>
        </is>
      </c>
      <c r="M26" t="inlineStr">
        <is>
          <t>Staging</t>
        </is>
      </c>
      <c r="P26" s="8" t="n"/>
    </row>
    <row r="27">
      <c r="A27" t="inlineStr">
        <is>
          <t>CL-026</t>
        </is>
      </c>
      <c r="B27" t="inlineStr">
        <is>
          <t>Clients (العملاء)</t>
        </is>
      </c>
      <c r="C27" t="inlineStr">
        <is>
          <t>Negative</t>
        </is>
      </c>
      <c r="D27" s="8" t="inlineStr">
        <is>
          <t>تعديل عميل غير موجود (404)</t>
        </is>
      </c>
      <c r="E27" s="8" t="inlineStr">
        <is>
          <t>id خاطئ</t>
        </is>
      </c>
      <c r="F27" s="8" t="inlineStr">
        <is>
          <t>—</t>
        </is>
      </c>
      <c r="G27" s="8" t="inlineStr">
        <is>
          <t>1. افتح /clients/INVALID-ID/edit</t>
        </is>
      </c>
      <c r="H27" s="8" t="inlineStr">
        <is>
          <t>id=uuid عشوائي</t>
        </is>
      </c>
      <c r="I27" s="8" t="inlineStr">
        <is>
          <t>1. 404 Not Found
2. UI: رسالة + زر العودة</t>
        </is>
      </c>
      <c r="K27" t="inlineStr">
        <is>
          <t>P1-High</t>
        </is>
      </c>
      <c r="L27" t="inlineStr">
        <is>
          <t>Not Started</t>
        </is>
      </c>
      <c r="M27" t="inlineStr">
        <is>
          <t>Staging</t>
        </is>
      </c>
      <c r="P27" s="8" t="n"/>
    </row>
    <row r="28">
      <c r="A28" t="inlineStr">
        <is>
          <t>CL-027</t>
        </is>
      </c>
      <c r="B28" t="inlineStr">
        <is>
          <t>Clients (العملاء)</t>
        </is>
      </c>
      <c r="C28" t="inlineStr">
        <is>
          <t>Negative</t>
        </is>
      </c>
      <c r="D28" s="8" t="inlineStr">
        <is>
          <t>تعديل عميل محذوف ناعمياً (404)</t>
        </is>
      </c>
      <c r="E28" s="8" t="inlineStr">
        <is>
          <t>handler يفلتر deletedAt=null</t>
        </is>
      </c>
      <c r="F28" s="8" t="inlineStr">
        <is>
          <t>عميل deletedAt != null</t>
        </is>
      </c>
      <c r="G28" s="8" t="inlineStr">
        <is>
          <t>1. API: PATCH /clients/:deletedId</t>
        </is>
      </c>
      <c r="H28" s="8" t="inlineStr">
        <is>
          <t>—</t>
        </is>
      </c>
      <c r="I28" s="8" t="inlineStr">
        <is>
          <t>1. 404 Not Found</t>
        </is>
      </c>
      <c r="K28" t="inlineStr">
        <is>
          <t>P1-High</t>
        </is>
      </c>
      <c r="L28" t="inlineStr">
        <is>
          <t>Not Started</t>
        </is>
      </c>
      <c r="M28" t="inlineStr">
        <is>
          <t>Staging</t>
        </is>
      </c>
      <c r="P28" s="8" t="n"/>
    </row>
    <row r="29">
      <c r="A29" t="inlineStr">
        <is>
          <t>CL-028</t>
        </is>
      </c>
      <c r="B29" t="inlineStr">
        <is>
          <t>Clients (العملاء)</t>
        </is>
      </c>
      <c r="C29" t="inlineStr">
        <is>
          <t>Negative</t>
        </is>
      </c>
      <c r="D29" s="8" t="inlineStr">
        <is>
          <t>تعديل الجوال إلى قيمة مكررة (409)</t>
        </is>
      </c>
      <c r="E29" s="8" t="inlineStr">
        <is>
          <t>فحص التكرار</t>
        </is>
      </c>
      <c r="F29" s="8" t="inlineStr">
        <is>
          <t>عميلان، الأول له phoneA والثاني phoneB</t>
        </is>
      </c>
      <c r="G29" s="8" t="inlineStr">
        <is>
          <t>1. edit للثاني
2. غيّر الجوال إلى phoneA
3. احفظ</t>
        </is>
      </c>
      <c r="H29" s="8" t="inlineStr">
        <is>
          <t>phone=phoneA</t>
        </is>
      </c>
      <c r="I29" s="8" t="inlineStr">
        <is>
          <t>1. 409 Conflict
2. Toast: الجوال مكرر</t>
        </is>
      </c>
      <c r="K29" t="inlineStr">
        <is>
          <t>P1-High</t>
        </is>
      </c>
      <c r="L29" t="inlineStr">
        <is>
          <t>Not Started</t>
        </is>
      </c>
      <c r="M29" t="inlineStr">
        <is>
          <t>Staging</t>
        </is>
      </c>
      <c r="P29" s="8" t="n"/>
    </row>
    <row r="30">
      <c r="A30" t="inlineStr">
        <is>
          <t>CL-029</t>
        </is>
      </c>
      <c r="B30" t="inlineStr">
        <is>
          <t>Clients (العملاء)</t>
        </is>
      </c>
      <c r="C30" t="inlineStr">
        <is>
          <t>Negative</t>
        </is>
      </c>
      <c r="D30" s="8" t="inlineStr">
        <is>
          <t>تعديل - phone regex خاطئ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1. edit
2. أدخل phone=0501234567
3. احفظ</t>
        </is>
      </c>
      <c r="H30" s="8" t="inlineStr">
        <is>
          <t>phone=0501234567</t>
        </is>
      </c>
      <c r="I30" s="8" t="inlineStr">
        <is>
          <t>1. خطأ Zod تحت الحقل</t>
        </is>
      </c>
      <c r="K30" t="inlineStr">
        <is>
          <t>P1-High</t>
        </is>
      </c>
      <c r="L30" t="inlineStr">
        <is>
          <t>Not Started</t>
        </is>
      </c>
      <c r="M30" t="inlineStr">
        <is>
          <t>Staging</t>
        </is>
      </c>
      <c r="P30" s="8" t="n"/>
    </row>
    <row r="31">
      <c r="A31" t="inlineStr">
        <is>
          <t>CL-030</t>
        </is>
      </c>
      <c r="B31" t="inlineStr">
        <is>
          <t>Clients (العملاء)</t>
        </is>
      </c>
      <c r="C31" t="inlineStr">
        <is>
          <t>Negative</t>
        </is>
      </c>
      <c r="D31" s="8" t="inlineStr">
        <is>
          <t>تعديل - طول حقل تجاوز الحد</t>
        </is>
      </c>
      <c r="E31" s="8" t="inlineStr">
        <is>
          <t>firstName&gt;255 مثلاً</t>
        </is>
      </c>
      <c r="F31" s="8" t="inlineStr">
        <is>
          <t>—</t>
        </is>
      </c>
      <c r="G31" s="8" t="inlineStr">
        <is>
          <t>1. edit
2. أدخل firstName طويل
3. احفظ</t>
        </is>
      </c>
      <c r="H31" s="8" t="inlineStr">
        <is>
          <t>firstName&gt;255</t>
        </is>
      </c>
      <c r="I31" s="8" t="inlineStr">
        <is>
          <t>1. خطأ Zod
2. عدم إرسال</t>
        </is>
      </c>
      <c r="K31" t="inlineStr">
        <is>
          <t>P3-Low</t>
        </is>
      </c>
      <c r="L31" t="inlineStr">
        <is>
          <t>Not Started</t>
        </is>
      </c>
      <c r="M31" t="inlineStr">
        <is>
          <t>Staging</t>
        </is>
      </c>
      <c r="P31" s="8" t="n"/>
    </row>
    <row r="32">
      <c r="A32" t="inlineStr">
        <is>
          <t>CL-031</t>
        </is>
      </c>
      <c r="B32" t="inlineStr">
        <is>
          <t>Clients (العملاء)</t>
        </is>
      </c>
      <c r="C32" t="inlineStr">
        <is>
          <t>Negative</t>
        </is>
      </c>
      <c r="D32" s="8" t="inlineStr">
        <is>
          <t>تعديل - بدون صلاحية (403)</t>
        </is>
      </c>
      <c r="E32" s="8" t="inlineStr">
        <is>
          <t>CASL يمنع</t>
        </is>
      </c>
      <c r="F32" s="8" t="inlineStr">
        <is>
          <t>مستخدم محدود</t>
        </is>
      </c>
      <c r="G32" s="8" t="inlineStr">
        <is>
          <t>1. محاولة PATCH</t>
        </is>
      </c>
      <c r="H32" s="8" t="inlineStr">
        <is>
          <t>—</t>
        </is>
      </c>
      <c r="I32" s="8" t="inlineStr">
        <is>
          <t>1. 403
2. Toast: فشل تحديث البيانات</t>
        </is>
      </c>
      <c r="K32" t="inlineStr">
        <is>
          <t>P1-High</t>
        </is>
      </c>
      <c r="L32" t="inlineStr">
        <is>
          <t>Not Started</t>
        </is>
      </c>
      <c r="M32" t="inlineStr">
        <is>
          <t>Staging</t>
        </is>
      </c>
      <c r="P32" s="8" t="n"/>
    </row>
    <row r="33">
      <c r="A33" t="inlineStr">
        <is>
          <t>CL-032</t>
        </is>
      </c>
      <c r="B33" t="inlineStr">
        <is>
          <t>Clients (العملاء)</t>
        </is>
      </c>
      <c r="C33" t="inlineStr">
        <is>
          <t>Positive</t>
        </is>
      </c>
      <c r="D33" s="8" t="inlineStr">
        <is>
          <t>حذف عميل (soft delete)</t>
        </is>
      </c>
      <c r="E33" s="8" t="inlineStr">
        <is>
          <t>تأكيد الحذف من الـ dialog</t>
        </is>
      </c>
      <c r="F33" s="8" t="inlineStr">
        <is>
          <t>عميل موجود</t>
        </is>
      </c>
      <c r="G33" s="8" t="inlineStr">
        <is>
          <t>1. /clients
2. اضغط أيقونة الحذف للعميل
3. في الـ Dialog اضغط (حذف)</t>
        </is>
      </c>
      <c r="H33" s="8" t="inlineStr">
        <is>
          <t>id=XXX</t>
        </is>
      </c>
      <c r="I33" s="8" t="inlineStr">
        <is>
          <t>1. 204 No Content
2. Toast: تم حذف المستفيد
3. إغلاق الـ dialog
4. إعادة تحميل القائمة
5. العميل غير ظاهر
6. DB: deletedAt, isActive=false, phone=null, notes يحتوي [deleted-phone:...]</t>
        </is>
      </c>
      <c r="K33" t="inlineStr">
        <is>
          <t>P1-High</t>
        </is>
      </c>
      <c r="L33" t="inlineStr">
        <is>
          <t>Not Started</t>
        </is>
      </c>
      <c r="M33" t="inlineStr">
        <is>
          <t>Staging</t>
        </is>
      </c>
      <c r="P33" s="8" t="n"/>
    </row>
    <row r="34">
      <c r="A34" t="inlineStr">
        <is>
          <t>CL-033</t>
        </is>
      </c>
      <c r="B34" t="inlineStr">
        <is>
          <t>Clients (العملاء)</t>
        </is>
      </c>
      <c r="C34" t="inlineStr">
        <is>
          <t>Positive</t>
        </is>
      </c>
      <c r="D34" s="8" t="inlineStr">
        <is>
          <t>حذف - إعادة استخدام الجوال بعد الحذف</t>
        </is>
      </c>
      <c r="E34" s="8" t="inlineStr">
        <is>
          <t>الجوال يصبح متاحاً للاستخدام</t>
        </is>
      </c>
      <c r="F34" s="8" t="inlineStr">
        <is>
          <t>عميل A محذوف بجوال X</t>
        </is>
      </c>
      <c r="G34" s="8" t="inlineStr">
        <is>
          <t>1. أنشئ عميلاً B بنفس الجوال X</t>
        </is>
      </c>
      <c r="H34" s="8" t="inlineStr">
        <is>
          <t>phone=X</t>
        </is>
      </c>
      <c r="I34" s="8" t="inlineStr">
        <is>
          <t>1. 201 Created ينجح
2. لا تعارض لأن القديم phone=null</t>
        </is>
      </c>
      <c r="K34" t="inlineStr">
        <is>
          <t>P2-Medium</t>
        </is>
      </c>
      <c r="L34" t="inlineStr">
        <is>
          <t>Not Started</t>
        </is>
      </c>
      <c r="M34" t="inlineStr">
        <is>
          <t>Staging</t>
        </is>
      </c>
      <c r="P34" s="8" t="n"/>
    </row>
    <row r="35">
      <c r="A35" t="inlineStr">
        <is>
          <t>CL-034</t>
        </is>
      </c>
      <c r="B35" t="inlineStr">
        <is>
          <t>Clients (العملاء)</t>
        </is>
      </c>
      <c r="C35" t="inlineStr">
        <is>
          <t>Negative</t>
        </is>
      </c>
      <c r="D35" s="8" t="inlineStr">
        <is>
          <t>حذف عميل غير موجود (404)</t>
        </is>
      </c>
      <c r="E35" s="8" t="inlineStr">
        <is>
          <t>id غير موجود</t>
        </is>
      </c>
      <c r="F35" s="8" t="inlineStr">
        <is>
          <t>—</t>
        </is>
      </c>
      <c r="G35" s="8" t="inlineStr">
        <is>
          <t>1. DELETE /clients/INVALID</t>
        </is>
      </c>
      <c r="H35" s="8" t="inlineStr">
        <is>
          <t>—</t>
        </is>
      </c>
      <c r="I35" s="8" t="inlineStr">
        <is>
          <t>1. 404 Not Found</t>
        </is>
      </c>
      <c r="K35" t="inlineStr">
        <is>
          <t>P2-Medium</t>
        </is>
      </c>
      <c r="L35" t="inlineStr">
        <is>
          <t>Not Started</t>
        </is>
      </c>
      <c r="M35" t="inlineStr">
        <is>
          <t>Staging</t>
        </is>
      </c>
      <c r="P35" s="8" t="n"/>
    </row>
    <row r="36">
      <c r="A36" t="inlineStr">
        <is>
          <t>CL-035</t>
        </is>
      </c>
      <c r="B36" t="inlineStr">
        <is>
          <t>Clients (العملاء)</t>
        </is>
      </c>
      <c r="C36" t="inlineStr">
        <is>
          <t>Negative</t>
        </is>
      </c>
      <c r="D36" s="8" t="inlineStr">
        <is>
          <t>حذف عميل محذوف مسبقاً (404)</t>
        </is>
      </c>
      <c r="E36" s="8" t="inlineStr">
        <is>
          <t>deletedAt != null -&gt; 404</t>
        </is>
      </c>
      <c r="F36" s="8" t="inlineStr">
        <is>
          <t>—</t>
        </is>
      </c>
      <c r="G36" s="8" t="inlineStr">
        <is>
          <t>1. DELETE نفس id مرتين</t>
        </is>
      </c>
      <c r="H36" s="8" t="inlineStr">
        <is>
          <t>—</t>
        </is>
      </c>
      <c r="I36" s="8" t="inlineStr">
        <is>
          <t>1. الثانية ترجع 404</t>
        </is>
      </c>
      <c r="K36" t="inlineStr">
        <is>
          <t>P2-Medium</t>
        </is>
      </c>
      <c r="L36" t="inlineStr">
        <is>
          <t>Not Started</t>
        </is>
      </c>
      <c r="M36" t="inlineStr">
        <is>
          <t>Staging</t>
        </is>
      </c>
      <c r="P36" s="8" t="n"/>
    </row>
    <row r="37">
      <c r="A37" t="inlineStr">
        <is>
          <t>CL-036</t>
        </is>
      </c>
      <c r="B37" t="inlineStr">
        <is>
          <t>Clients (العملاء)</t>
        </is>
      </c>
      <c r="C37" t="inlineStr">
        <is>
          <t>Negative</t>
        </is>
      </c>
      <c r="D37" s="8" t="inlineStr">
        <is>
          <t>حذف - إلغاء من الـ Dialog</t>
        </is>
      </c>
      <c r="E37" s="8" t="inlineStr">
        <is>
          <t>إغلاق بدون إجراء</t>
        </is>
      </c>
      <c r="F37" s="8" t="inlineStr">
        <is>
          <t>—</t>
        </is>
      </c>
      <c r="G37" s="8" t="inlineStr">
        <is>
          <t>1. افتح dialog الحذف
2. اضغط (إلغاء)</t>
        </is>
      </c>
      <c r="H37" s="8" t="inlineStr">
        <is>
          <t>—</t>
        </is>
      </c>
      <c r="I37" s="8" t="inlineStr">
        <is>
          <t>1. إغلاق الـ Dialog
2. لا طلب DELETE
3. العميل باقٍ</t>
        </is>
      </c>
      <c r="K37" t="inlineStr">
        <is>
          <t>P2-Medium</t>
        </is>
      </c>
      <c r="L37" t="inlineStr">
        <is>
          <t>Not Started</t>
        </is>
      </c>
      <c r="M37" t="inlineStr">
        <is>
          <t>Staging</t>
        </is>
      </c>
      <c r="P37" s="8" t="n"/>
    </row>
    <row r="38">
      <c r="A38" t="inlineStr">
        <is>
          <t>CL-037</t>
        </is>
      </c>
      <c r="B38" t="inlineStr">
        <is>
          <t>Clients (العملاء)</t>
        </is>
      </c>
      <c r="C38" t="inlineStr">
        <is>
          <t>Negative</t>
        </is>
      </c>
      <c r="D38" s="8" t="inlineStr">
        <is>
          <t>حذف - Escape key يغلق الـ Dialog</t>
        </is>
      </c>
      <c r="E38" s="8" t="inlineStr">
        <is>
          <t>UX</t>
        </is>
      </c>
      <c r="F38" s="8" t="inlineStr">
        <is>
          <t>—</t>
        </is>
      </c>
      <c r="G38" s="8" t="inlineStr">
        <is>
          <t>1. افتح dialog
2. اضغط Esc</t>
        </is>
      </c>
      <c r="H38" s="8" t="inlineStr">
        <is>
          <t>—</t>
        </is>
      </c>
      <c r="I38" s="8" t="inlineStr">
        <is>
          <t>1. إغلاق دون حذف</t>
        </is>
      </c>
      <c r="K38" t="inlineStr">
        <is>
          <t>P3-Low</t>
        </is>
      </c>
      <c r="L38" t="inlineStr">
        <is>
          <t>Not Started</t>
        </is>
      </c>
      <c r="M38" t="inlineStr">
        <is>
          <t>Staging</t>
        </is>
      </c>
      <c r="P38" s="8" t="n"/>
    </row>
    <row r="39">
      <c r="A39" t="inlineStr">
        <is>
          <t>CL-038</t>
        </is>
      </c>
      <c r="B39" t="inlineStr">
        <is>
          <t>Clients (العملاء)</t>
        </is>
      </c>
      <c r="C39" t="inlineStr">
        <is>
          <t>Negative</t>
        </is>
      </c>
      <c r="D39" s="8" t="inlineStr">
        <is>
          <t>حذف - بدون صلاحية (403)</t>
        </is>
      </c>
      <c r="E39" s="8" t="inlineStr">
        <is>
          <t>CASL</t>
        </is>
      </c>
      <c r="F39" s="8" t="inlineStr">
        <is>
          <t>مستخدم محدود</t>
        </is>
      </c>
      <c r="G39" s="8" t="inlineStr">
        <is>
          <t>1. محاولة DELETE</t>
        </is>
      </c>
      <c r="H39" s="8" t="inlineStr">
        <is>
          <t>—</t>
        </is>
      </c>
      <c r="I39" s="8" t="inlineStr">
        <is>
          <t>1. 403
2. Toast: فشل حذف المستفيد</t>
        </is>
      </c>
      <c r="K39" t="inlineStr">
        <is>
          <t>P1-High</t>
        </is>
      </c>
      <c r="L39" t="inlineStr">
        <is>
          <t>Not Started</t>
        </is>
      </c>
      <c r="M39" t="inlineStr">
        <is>
          <t>Staging</t>
        </is>
      </c>
      <c r="P39" s="8" t="n"/>
    </row>
    <row r="40">
      <c r="A40" t="inlineStr">
        <is>
          <t>CL-039</t>
        </is>
      </c>
      <c r="B40" t="inlineStr">
        <is>
          <t>Clients (العملاء)</t>
        </is>
      </c>
      <c r="C40" t="inlineStr">
        <is>
          <t>Positive</t>
        </is>
      </c>
      <c r="D40" s="8" t="inlineStr">
        <is>
          <t>عرض تفاصيل عميل</t>
        </is>
      </c>
      <c r="E40" s="8" t="inlineStr">
        <is>
          <t>صفحة /clients/[id]</t>
        </is>
      </c>
      <c r="F40" s="8" t="inlineStr">
        <is>
          <t>—</t>
        </is>
      </c>
      <c r="G40" s="8" t="inlineStr">
        <is>
          <t>1. /clients/[id]</t>
        </is>
      </c>
      <c r="H40" s="8" t="inlineStr">
        <is>
          <t>—</t>
        </is>
      </c>
      <c r="I40" s="8" t="inlineStr">
        <is>
          <t>1. 200
2. عرض الاسم + الصورة (initials)
3. 4 Tabs (التواصل، المواعيد، الفواتير، الإحصائيات)
4. بطاقات: شخصي، تواصل، طبي، حساب</t>
        </is>
      </c>
      <c r="K40" t="inlineStr">
        <is>
          <t>P1-High</t>
        </is>
      </c>
      <c r="L40" t="inlineStr">
        <is>
          <t>Not Started</t>
        </is>
      </c>
      <c r="M40" t="inlineStr">
        <is>
          <t>Staging</t>
        </is>
      </c>
      <c r="P40" s="8" t="n"/>
    </row>
    <row r="41">
      <c r="A41" t="inlineStr">
        <is>
          <t>CL-040</t>
        </is>
      </c>
      <c r="B41" t="inlineStr">
        <is>
          <t>Clients (العملاء)</t>
        </is>
      </c>
      <c r="C41" t="inlineStr">
        <is>
          <t>Positive</t>
        </is>
      </c>
      <c r="D41" s="8" t="inlineStr">
        <is>
          <t>عرض - شارة Walk-in</t>
        </is>
      </c>
      <c r="E41" s="8" t="inlineStr">
        <is>
          <t>accountType=WALK_IN تظهر شارة</t>
        </is>
      </c>
      <c r="F41" s="8" t="inlineStr">
        <is>
          <t>عميل walk-in</t>
        </is>
      </c>
      <c r="G41" s="8" t="inlineStr">
        <is>
          <t>1. /clients/[walkin-id]</t>
        </is>
      </c>
      <c r="H41" s="8" t="inlineStr">
        <is>
          <t>—</t>
        </is>
      </c>
      <c r="I41" s="8" t="inlineStr">
        <is>
          <t>1. شارة برتقالية Walk-in ظاهرة</t>
        </is>
      </c>
      <c r="K41" t="inlineStr">
        <is>
          <t>P2-Medium</t>
        </is>
      </c>
      <c r="L41" t="inlineStr">
        <is>
          <t>Not Started</t>
        </is>
      </c>
      <c r="M41" t="inlineStr">
        <is>
          <t>Staging</t>
        </is>
      </c>
      <c r="P41" s="8" t="n"/>
    </row>
    <row r="42">
      <c r="A42" t="inlineStr">
        <is>
          <t>CL-041</t>
        </is>
      </c>
      <c r="B42" t="inlineStr">
        <is>
          <t>Clients (العملاء)</t>
        </is>
      </c>
      <c r="C42" t="inlineStr">
        <is>
          <t>Positive</t>
        </is>
      </c>
      <c r="D42" s="8" t="inlineStr">
        <is>
          <t>عرض - شارة نشط/غير نشط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1. افتح عميل نشط وآخر غير نشط</t>
        </is>
      </c>
      <c r="H42" s="8" t="inlineStr">
        <is>
          <t>—</t>
        </is>
      </c>
      <c r="I42" s="8" t="inlineStr">
        <is>
          <t>1. شارة خضراء (نشط) / رمادية (غير نشط)</t>
        </is>
      </c>
      <c r="K42" t="inlineStr">
        <is>
          <t>P2-Medium</t>
        </is>
      </c>
      <c r="L42" t="inlineStr">
        <is>
          <t>Not Started</t>
        </is>
      </c>
      <c r="M42" t="inlineStr">
        <is>
          <t>Staging</t>
        </is>
      </c>
      <c r="P42" s="8" t="n"/>
    </row>
    <row r="43">
      <c r="A43" t="inlineStr">
        <is>
          <t>CL-042</t>
        </is>
      </c>
      <c r="B43" t="inlineStr">
        <is>
          <t>Clients (العملاء)</t>
        </is>
      </c>
      <c r="C43" t="inlineStr">
        <is>
          <t>Negative</t>
        </is>
      </c>
      <c r="D43" s="8" t="inlineStr">
        <is>
          <t>عرض عميل غير موجود (404)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1. /clients/INVALID</t>
        </is>
      </c>
      <c r="H43" s="8" t="inlineStr">
        <is>
          <t>—</t>
        </is>
      </c>
      <c r="I43" s="8" t="inlineStr">
        <is>
          <t>1. Error banner: لم يتم العثور على المستفيد
2. زر: العودة للمستفيدين</t>
        </is>
      </c>
      <c r="K43" t="inlineStr">
        <is>
          <t>P1-High</t>
        </is>
      </c>
      <c r="L43" t="inlineStr">
        <is>
          <t>Not Started</t>
        </is>
      </c>
      <c r="M43" t="inlineStr">
        <is>
          <t>Staging</t>
        </is>
      </c>
      <c r="P43" s="8" t="n"/>
    </row>
    <row r="44">
      <c r="A44" t="inlineStr">
        <is>
          <t>CL-043</t>
        </is>
      </c>
      <c r="B44" t="inlineStr">
        <is>
          <t>Clients (العملاء)</t>
        </is>
      </c>
      <c r="C44" t="inlineStr">
        <is>
          <t>Negative</t>
        </is>
      </c>
      <c r="D44" s="8" t="inlineStr">
        <is>
          <t>عرض عميل محذوف (404)</t>
        </is>
      </c>
      <c r="E44" s="8" t="inlineStr">
        <is>
          <t>deletedAt=null filter</t>
        </is>
      </c>
      <c r="F44" s="8" t="inlineStr">
        <is>
          <t>—</t>
        </is>
      </c>
      <c r="G44" s="8" t="inlineStr">
        <is>
          <t>1. /clients/[deleted]</t>
        </is>
      </c>
      <c r="H44" s="8" t="inlineStr">
        <is>
          <t>—</t>
        </is>
      </c>
      <c r="I44" s="8" t="inlineStr">
        <is>
          <t>1. 404 + Error banner</t>
        </is>
      </c>
      <c r="K44" t="inlineStr">
        <is>
          <t>P2-Medium</t>
        </is>
      </c>
      <c r="L44" t="inlineStr">
        <is>
          <t>Not Started</t>
        </is>
      </c>
      <c r="M44" t="inlineStr">
        <is>
          <t>Staging</t>
        </is>
      </c>
      <c r="P44" s="8" t="n"/>
    </row>
    <row r="45">
      <c r="A45" t="inlineStr">
        <is>
          <t>CL-044</t>
        </is>
      </c>
      <c r="B45" t="inlineStr">
        <is>
          <t>Clients (العملاء)</t>
        </is>
      </c>
      <c r="C45" t="inlineStr">
        <is>
          <t>Positive</t>
        </is>
      </c>
      <c r="D45" s="8" t="inlineStr">
        <is>
          <t>قائمة العملاء - Pagination</t>
        </is>
      </c>
      <c r="E45" s="8" t="inlineStr">
        <is>
          <t>20 عنصر لكل صفحة</t>
        </is>
      </c>
      <c r="F45" s="8" t="inlineStr">
        <is>
          <t>&gt; 20 عميل</t>
        </is>
      </c>
      <c r="G45" s="8" t="inlineStr">
        <is>
          <t>1. /clients
2. تنقل بين الصفحات</t>
        </is>
      </c>
      <c r="H45" s="8" t="inlineStr">
        <is>
          <t>—</t>
        </is>
      </c>
      <c r="I45" s="8" t="inlineStr">
        <is>
          <t>1. 20 صف في الصفحة الأولى
2. meta.totalPages صحيح
3. keepPreviousData أثناء التحميل</t>
        </is>
      </c>
      <c r="K45" t="inlineStr">
        <is>
          <t>P1-High</t>
        </is>
      </c>
      <c r="L45" t="inlineStr">
        <is>
          <t>Not Started</t>
        </is>
      </c>
      <c r="M45" t="inlineStr">
        <is>
          <t>Staging</t>
        </is>
      </c>
      <c r="P45" s="8" t="n"/>
    </row>
    <row r="46">
      <c r="A46" t="inlineStr">
        <is>
          <t>CL-045</t>
        </is>
      </c>
      <c r="B46" t="inlineStr">
        <is>
          <t>Clients (العملاء)</t>
        </is>
      </c>
      <c r="C46" t="inlineStr">
        <is>
          <t>Positive</t>
        </is>
      </c>
      <c r="D46" s="8" t="inlineStr">
        <is>
          <t>بحث بالاسم</t>
        </is>
      </c>
      <c r="E46" s="8" t="inlineStr">
        <is>
          <t>يبحث في name, firstName, lastName, phone, email</t>
        </is>
      </c>
      <c r="F46" s="8" t="inlineStr">
        <is>
          <t>—</t>
        </is>
      </c>
      <c r="G46" s="8" t="inlineStr">
        <is>
          <t>1. /clients
2. اكتب جزء من الاسم في البحث</t>
        </is>
      </c>
      <c r="H46" s="8" t="inlineStr">
        <is>
          <t>search=أحمد</t>
        </is>
      </c>
      <c r="I46" s="8" t="inlineStr">
        <is>
          <t>1. debounced
2. يعيد الصفحة إلى 1
3. نتائج مطابقة (OR لخمسة حقول)</t>
        </is>
      </c>
      <c r="K46" t="inlineStr">
        <is>
          <t>P1-High</t>
        </is>
      </c>
      <c r="L46" t="inlineStr">
        <is>
          <t>Not Started</t>
        </is>
      </c>
      <c r="M46" t="inlineStr">
        <is>
          <t>Staging</t>
        </is>
      </c>
      <c r="P46" s="8" t="n"/>
    </row>
    <row r="47">
      <c r="A47" t="inlineStr">
        <is>
          <t>CL-046</t>
        </is>
      </c>
      <c r="B47" t="inlineStr">
        <is>
          <t>Clients (العملاء)</t>
        </is>
      </c>
      <c r="C47" t="inlineStr">
        <is>
          <t>Positive</t>
        </is>
      </c>
      <c r="D47" s="8" t="inlineStr">
        <is>
          <t>بحث بالجوال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1. اكتب الجوال أو جزء منه</t>
        </is>
      </c>
      <c r="H47" s="8" t="inlineStr">
        <is>
          <t>search=966501</t>
        </is>
      </c>
      <c r="I47" s="8" t="inlineStr">
        <is>
          <t>1. يظهر من جواله يطابق</t>
        </is>
      </c>
      <c r="K47" t="inlineStr">
        <is>
          <t>P2-Medium</t>
        </is>
      </c>
      <c r="L47" t="inlineStr">
        <is>
          <t>Not Started</t>
        </is>
      </c>
      <c r="M47" t="inlineStr">
        <is>
          <t>Staging</t>
        </is>
      </c>
      <c r="P47" s="8" t="n"/>
    </row>
    <row r="48">
      <c r="A48" t="inlineStr">
        <is>
          <t>CL-047</t>
        </is>
      </c>
      <c r="B48" t="inlineStr">
        <is>
          <t>Clients (العملاء)</t>
        </is>
      </c>
      <c r="C48" t="inlineStr">
        <is>
          <t>Positive</t>
        </is>
      </c>
      <c r="D48" s="8" t="inlineStr">
        <is>
          <t>بحث - case insensitive</t>
        </is>
      </c>
      <c r="E48" s="8" t="inlineStr">
        <is>
          <t>contains insensitive</t>
        </is>
      </c>
      <c r="F48" s="8" t="inlineStr">
        <is>
          <t>—</t>
        </is>
      </c>
      <c r="G48" s="8" t="inlineStr">
        <is>
          <t>1. ابحث بحروف كبيرة/صغيرة</t>
        </is>
      </c>
      <c r="H48" s="8" t="inlineStr">
        <is>
          <t>search=AHMED vs ahmed</t>
        </is>
      </c>
      <c r="I48" s="8" t="inlineStr">
        <is>
          <t>1. نفس النتائج</t>
        </is>
      </c>
      <c r="K48" t="inlineStr">
        <is>
          <t>P2-Medium</t>
        </is>
      </c>
      <c r="L48" t="inlineStr">
        <is>
          <t>Not Started</t>
        </is>
      </c>
      <c r="M48" t="inlineStr">
        <is>
          <t>Staging</t>
        </is>
      </c>
      <c r="P48" s="8" t="n"/>
    </row>
    <row r="49">
      <c r="A49" t="inlineStr">
        <is>
          <t>CL-048</t>
        </is>
      </c>
      <c r="B49" t="inlineStr">
        <is>
          <t>Clients (العملاء)</t>
        </is>
      </c>
      <c r="C49" t="inlineStr">
        <is>
          <t>Positive</t>
        </is>
      </c>
      <c r="D49" s="8" t="inlineStr">
        <is>
          <t>بحث - نص عربي</t>
        </is>
      </c>
      <c r="E49" s="8" t="inlineStr">
        <is>
          <t>localeCompare ar</t>
        </is>
      </c>
      <c r="F49" s="8" t="inlineStr">
        <is>
          <t>—</t>
        </is>
      </c>
      <c r="G49" s="8" t="inlineStr">
        <is>
          <t>1. ابحث بكلمة عربية</t>
        </is>
      </c>
      <c r="H49" s="8" t="inlineStr">
        <is>
          <t>search=سالم</t>
        </is>
      </c>
      <c r="I49" s="8" t="inlineStr">
        <is>
          <t>1. نتائج صحيحة</t>
        </is>
      </c>
      <c r="K49" t="inlineStr">
        <is>
          <t>P2-Medium</t>
        </is>
      </c>
      <c r="L49" t="inlineStr">
        <is>
          <t>Not Started</t>
        </is>
      </c>
      <c r="M49" t="inlineStr">
        <is>
          <t>Staging</t>
        </is>
      </c>
      <c r="P49" s="8" t="n"/>
    </row>
    <row r="50">
      <c r="A50" t="inlineStr">
        <is>
          <t>CL-049</t>
        </is>
      </c>
      <c r="B50" t="inlineStr">
        <is>
          <t>Clients (العملاء)</t>
        </is>
      </c>
      <c r="C50" t="inlineStr">
        <is>
          <t>Positive</t>
        </is>
      </c>
      <c r="D50" s="8" t="inlineStr">
        <is>
          <t>فلتر - isActive=true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1. اختر فلتر (نشط)</t>
        </is>
      </c>
      <c r="H50" s="8" t="inlineStr">
        <is>
          <t>isActive=true</t>
        </is>
      </c>
      <c r="I50" s="8" t="inlineStr">
        <is>
          <t>1. النتائج نشطة فقط
2. page=1</t>
        </is>
      </c>
      <c r="K50" t="inlineStr">
        <is>
          <t>P2-Medium</t>
        </is>
      </c>
      <c r="L50" t="inlineStr">
        <is>
          <t>Not Started</t>
        </is>
      </c>
      <c r="M50" t="inlineStr">
        <is>
          <t>Staging</t>
        </is>
      </c>
      <c r="P50" s="8" t="n"/>
    </row>
    <row r="51">
      <c r="A51" t="inlineStr">
        <is>
          <t>CL-050</t>
        </is>
      </c>
      <c r="B51" t="inlineStr">
        <is>
          <t>Clients (العملاء)</t>
        </is>
      </c>
      <c r="C51" t="inlineStr">
        <is>
          <t>Positive</t>
        </is>
      </c>
      <c r="D51" s="8" t="inlineStr">
        <is>
          <t>فلتر - isActive=false</t>
        </is>
      </c>
      <c r="E51" s="8" t="inlineStr">
        <is>
          <t>تحويل string 'false' إلى boolean صحيح</t>
        </is>
      </c>
      <c r="F51" s="8" t="inlineStr">
        <is>
          <t>—</t>
        </is>
      </c>
      <c r="G51" s="8" t="inlineStr">
        <is>
          <t>1. اختر فلتر (غير نشط)</t>
        </is>
      </c>
      <c r="H51" s="8" t="inlineStr">
        <is>
          <t>isActive=false</t>
        </is>
      </c>
      <c r="I51" s="8" t="inlineStr">
        <is>
          <t>1. غير النشطين فقط
2. لا خطأ تحويل النوع</t>
        </is>
      </c>
      <c r="K51" t="inlineStr">
        <is>
          <t>P2-Medium</t>
        </is>
      </c>
      <c r="L51" t="inlineStr">
        <is>
          <t>Not Started</t>
        </is>
      </c>
      <c r="M51" t="inlineStr">
        <is>
          <t>Staging</t>
        </is>
      </c>
      <c r="P51" s="8" t="n"/>
    </row>
    <row r="52">
      <c r="A52" t="inlineStr">
        <is>
          <t>CL-051</t>
        </is>
      </c>
      <c r="B52" t="inlineStr">
        <is>
          <t>Clients (العملاء)</t>
        </is>
      </c>
      <c r="C52" t="inlineStr">
        <is>
          <t>Positive</t>
        </is>
      </c>
      <c r="D52" s="8" t="inlineStr">
        <is>
          <t>فلتر - gender (API)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1. GET /clients?gender=MALE</t>
        </is>
      </c>
      <c r="H52" s="8" t="inlineStr">
        <is>
          <t>gender=MALE</t>
        </is>
      </c>
      <c r="I52" s="8" t="inlineStr">
        <is>
          <t>1. ذكور فقط</t>
        </is>
      </c>
      <c r="K52" t="inlineStr">
        <is>
          <t>P3-Low</t>
        </is>
      </c>
      <c r="L52" t="inlineStr">
        <is>
          <t>Not Started</t>
        </is>
      </c>
      <c r="M52" t="inlineStr">
        <is>
          <t>Staging</t>
        </is>
      </c>
      <c r="P52" s="8" t="n"/>
    </row>
    <row r="53">
      <c r="A53" t="inlineStr">
        <is>
          <t>CL-052</t>
        </is>
      </c>
      <c r="B53" t="inlineStr">
        <is>
          <t>Clients (العملاء)</t>
        </is>
      </c>
      <c r="C53" t="inlineStr">
        <is>
          <t>Positive</t>
        </is>
      </c>
      <c r="D53" s="8" t="inlineStr">
        <is>
          <t>فلتر - source (API)</t>
        </is>
      </c>
      <c r="E53" s="8" t="inlineStr">
        <is>
          <t>WALK_IN/ONLINE/REFERRAL</t>
        </is>
      </c>
      <c r="F53" s="8" t="inlineStr">
        <is>
          <t>—</t>
        </is>
      </c>
      <c r="G53" s="8" t="inlineStr">
        <is>
          <t>1. GET /clients?source=WALK_IN</t>
        </is>
      </c>
      <c r="H53" s="8" t="inlineStr">
        <is>
          <t>source=WALK_IN</t>
        </is>
      </c>
      <c r="I53" s="8" t="inlineStr">
        <is>
          <t>1. walk-in فقط</t>
        </is>
      </c>
      <c r="K53" t="inlineStr">
        <is>
          <t>P3-Low</t>
        </is>
      </c>
      <c r="L53" t="inlineStr">
        <is>
          <t>Not Started</t>
        </is>
      </c>
      <c r="M53" t="inlineStr">
        <is>
          <t>Staging</t>
        </is>
      </c>
      <c r="P53" s="8" t="n"/>
    </row>
    <row r="54">
      <c r="A54" t="inlineStr">
        <is>
          <t>CL-053</t>
        </is>
      </c>
      <c r="B54" t="inlineStr">
        <is>
          <t>Clients (العملاء)</t>
        </is>
      </c>
      <c r="C54" t="inlineStr">
        <is>
          <t>Positive</t>
        </is>
      </c>
      <c r="D54" s="8" t="inlineStr">
        <is>
          <t>إعادة تعيين الفلاتر (Reset)</t>
        </is>
      </c>
      <c r="E54" s="8" t="inlineStr">
        <is>
          <t>زر يظهر عند وجود فلتر نشط</t>
        </is>
      </c>
      <c r="F54" s="8" t="inlineStr">
        <is>
          <t>فلتر مفعّل</t>
        </is>
      </c>
      <c r="G54" s="8" t="inlineStr">
        <is>
          <t>1. اضغط (إعادة تعيين)</t>
        </is>
      </c>
      <c r="H54" s="8" t="inlineStr">
        <is>
          <t>—</t>
        </is>
      </c>
      <c r="I54" s="8" t="inlineStr">
        <is>
          <t>1. مسح البحث والفلاتر
2. page=1</t>
        </is>
      </c>
      <c r="K54" t="inlineStr">
        <is>
          <t>P2-Medium</t>
        </is>
      </c>
      <c r="L54" t="inlineStr">
        <is>
          <t>Not Started</t>
        </is>
      </c>
      <c r="M54" t="inlineStr">
        <is>
          <t>Staging</t>
        </is>
      </c>
      <c r="P54" s="8" t="n"/>
    </row>
    <row r="55">
      <c r="A55" t="inlineStr">
        <is>
          <t>CL-054</t>
        </is>
      </c>
      <c r="B55" t="inlineStr">
        <is>
          <t>Clients (العملاء)</t>
        </is>
      </c>
      <c r="C55" t="inlineStr">
        <is>
          <t>Positive</t>
        </is>
      </c>
      <c r="D55" s="8" t="inlineStr">
        <is>
          <t>Toggle نشط/غير نشط من القائمة</t>
        </is>
      </c>
      <c r="E55" s="8" t="inlineStr">
        <is>
          <t>زر أيقوني بالصف</t>
        </is>
      </c>
      <c r="F55" s="8" t="inlineStr">
        <is>
          <t>—</t>
        </is>
      </c>
      <c r="G55" s="8" t="inlineStr">
        <is>
          <t>1. اضغط أيقونة الحظر/التفعيل</t>
        </is>
      </c>
      <c r="H55" s="8" t="inlineStr">
        <is>
          <t>—</t>
        </is>
      </c>
      <c r="I55" s="8" t="inlineStr">
        <is>
          <t>1. mutation تُنفّذ
2. Toast نجاح: تم تفعيل/تعطيل الحساب
3. تحديث الشارة</t>
        </is>
      </c>
      <c r="K55" t="inlineStr">
        <is>
          <t>P1-High</t>
        </is>
      </c>
      <c r="L55" t="inlineStr">
        <is>
          <t>Not Started</t>
        </is>
      </c>
      <c r="M55" t="inlineStr">
        <is>
          <t>Staging</t>
        </is>
      </c>
      <c r="P55" s="8" t="n"/>
    </row>
    <row r="56">
      <c r="A56" t="inlineStr">
        <is>
          <t>CL-055</t>
        </is>
      </c>
      <c r="B56" t="inlineStr">
        <is>
          <t>Clients (العملاء)</t>
        </is>
      </c>
      <c r="C56" t="inlineStr">
        <is>
          <t>Negative</t>
        </is>
      </c>
      <c r="D56" s="8" t="inlineStr">
        <is>
          <t>Toggle - فشل الشبكة</t>
        </is>
      </c>
      <c r="E56" s="8" t="inlineStr">
        <is>
          <t>—</t>
        </is>
      </c>
      <c r="F56" s="8" t="inlineStr">
        <is>
          <t>قطع الاتصال</t>
        </is>
      </c>
      <c r="G56" s="8" t="inlineStr">
        <is>
          <t>1. اضغط toggle
2. دع الطلب يفشل</t>
        </is>
      </c>
      <c r="H56" s="8" t="inlineStr">
        <is>
          <t>—</t>
        </is>
      </c>
      <c r="I56" s="8" t="inlineStr">
        <is>
          <t>1. Toast: فشل تفعيل/تعطيل الحساب
2. حالة الزر ترجع</t>
        </is>
      </c>
      <c r="K56" t="inlineStr">
        <is>
          <t>P2-Medium</t>
        </is>
      </c>
      <c r="L56" t="inlineStr">
        <is>
          <t>Not Started</t>
        </is>
      </c>
      <c r="M56" t="inlineStr">
        <is>
          <t>Staging</t>
        </is>
      </c>
      <c r="P56" s="8" t="n"/>
    </row>
    <row r="57">
      <c r="A57" t="inlineStr">
        <is>
          <t>CL-056</t>
        </is>
      </c>
      <c r="B57" t="inlineStr">
        <is>
          <t>Clients (العملاء)</t>
        </is>
      </c>
      <c r="C57" t="inlineStr">
        <is>
          <t>Negative</t>
        </is>
      </c>
      <c r="D57" s="8" t="inlineStr">
        <is>
          <t>قائمة - limit &gt; 200</t>
        </is>
      </c>
      <c r="E57" s="8" t="inlineStr">
        <is>
          <t>حد أقصى 200</t>
        </is>
      </c>
      <c r="F57" s="8" t="inlineStr">
        <is>
          <t>—</t>
        </is>
      </c>
      <c r="G57" s="8" t="inlineStr">
        <is>
          <t>1. GET /clients?limit=500</t>
        </is>
      </c>
      <c r="H57" s="8" t="inlineStr">
        <is>
          <t>limit=500</t>
        </is>
      </c>
      <c r="I57" s="8" t="inlineStr">
        <is>
          <t>1. 400 Bad Request</t>
        </is>
      </c>
      <c r="K57" t="inlineStr">
        <is>
          <t>P2-Medium</t>
        </is>
      </c>
      <c r="L57" t="inlineStr">
        <is>
          <t>Not Started</t>
        </is>
      </c>
      <c r="M57" t="inlineStr">
        <is>
          <t>Staging</t>
        </is>
      </c>
      <c r="P57" s="8" t="n"/>
    </row>
    <row r="58">
      <c r="A58" t="inlineStr">
        <is>
          <t>CL-057</t>
        </is>
      </c>
      <c r="B58" t="inlineStr">
        <is>
          <t>Clients (العملاء)</t>
        </is>
      </c>
      <c r="C58" t="inlineStr">
        <is>
          <t>Negative</t>
        </is>
      </c>
      <c r="D58" s="8" t="inlineStr">
        <is>
          <t>قائمة - page &lt; 1</t>
        </is>
      </c>
      <c r="E58" s="8" t="inlineStr">
        <is>
          <t>min 1</t>
        </is>
      </c>
      <c r="F58" s="8" t="inlineStr">
        <is>
          <t>—</t>
        </is>
      </c>
      <c r="G58" s="8" t="inlineStr">
        <is>
          <t>1. GET /clients?page=0</t>
        </is>
      </c>
      <c r="H58" s="8" t="inlineStr">
        <is>
          <t>page=0</t>
        </is>
      </c>
      <c r="I58" s="8" t="inlineStr">
        <is>
          <t>1. 400 Bad Request</t>
        </is>
      </c>
      <c r="K58" t="inlineStr">
        <is>
          <t>P2-Medium</t>
        </is>
      </c>
      <c r="L58" t="inlineStr">
        <is>
          <t>Not Started</t>
        </is>
      </c>
      <c r="M58" t="inlineStr">
        <is>
          <t>Staging</t>
        </is>
      </c>
      <c r="P58" s="8" t="n"/>
    </row>
    <row r="59">
      <c r="A59" t="inlineStr">
        <is>
          <t>CL-058</t>
        </is>
      </c>
      <c r="B59" t="inlineStr">
        <is>
          <t>Clients (العملاء)</t>
        </is>
      </c>
      <c r="C59" t="inlineStr">
        <is>
          <t>Negative</t>
        </is>
      </c>
      <c r="D59" s="8" t="inlineStr">
        <is>
          <t>قائمة - بحث بدون نتائج</t>
        </is>
      </c>
      <c r="E59" s="8" t="inlineStr">
        <is>
          <t>—</t>
        </is>
      </c>
      <c r="F59" s="8" t="inlineStr">
        <is>
          <t>—</t>
        </is>
      </c>
      <c r="G59" s="8" t="inlineStr">
        <is>
          <t>1. ابحث بنص غير موجود</t>
        </is>
      </c>
      <c r="H59" s="8" t="inlineStr">
        <is>
          <t>search=XXNOTEXISTXX</t>
        </is>
      </c>
      <c r="I59" s="8" t="inlineStr">
        <is>
          <t>1. حالة فارغة: لا يوجد مستفيدون
2. زر: إضافة مستفيد</t>
        </is>
      </c>
      <c r="K59" t="inlineStr">
        <is>
          <t>P2-Medium</t>
        </is>
      </c>
      <c r="L59" t="inlineStr">
        <is>
          <t>Not Started</t>
        </is>
      </c>
      <c r="M59" t="inlineStr">
        <is>
          <t>Staging</t>
        </is>
      </c>
      <c r="P59" s="8" t="n"/>
    </row>
    <row r="60">
      <c r="A60" t="inlineStr">
        <is>
          <t>CL-059</t>
        </is>
      </c>
      <c r="B60" t="inlineStr">
        <is>
          <t>Clients (العملاء)</t>
        </is>
      </c>
      <c r="C60" t="inlineStr">
        <is>
          <t>Negative</t>
        </is>
      </c>
      <c r="D60" s="8" t="inlineStr">
        <is>
          <t>قائمة - tenant isolation</t>
        </is>
      </c>
      <c r="E60" s="8" t="inlineStr">
        <is>
          <t>tenantId scoped</t>
        </is>
      </c>
      <c r="F60" s="8" t="inlineStr">
        <is>
          <t>مستخدم في tenant A + عميل في tenant B</t>
        </is>
      </c>
      <c r="G60" s="8" t="inlineStr">
        <is>
          <t>1. محاولة الوصول لعميل من tenant آخر</t>
        </is>
      </c>
      <c r="H60" s="8" t="inlineStr">
        <is>
          <t>—</t>
        </is>
      </c>
      <c r="I60" s="8" t="inlineStr">
        <is>
          <t>1. لا يظهر في القائمة
2. GET by id -&gt; 404</t>
        </is>
      </c>
      <c r="K60" t="inlineStr">
        <is>
          <t>P1-High</t>
        </is>
      </c>
      <c r="L60" t="inlineStr">
        <is>
          <t>Not Started</t>
        </is>
      </c>
      <c r="M60" t="inlineStr">
        <is>
          <t>Staging</t>
        </is>
      </c>
      <c r="P60" s="8" t="n"/>
    </row>
    <row r="61">
      <c r="A61" t="inlineStr">
        <is>
          <t>CL-060</t>
        </is>
      </c>
      <c r="B61" t="inlineStr">
        <is>
          <t>Clients (العملاء)</t>
        </is>
      </c>
      <c r="C61" t="inlineStr">
        <is>
          <t>Positive</t>
        </is>
      </c>
      <c r="D61" s="8" t="inlineStr">
        <is>
          <t>Mobile - عرض ملف العميل نفسه</t>
        </is>
      </c>
      <c r="E61" s="8" t="inlineStr">
        <is>
          <t>GET /mobile/client/profile</t>
        </is>
      </c>
      <c r="F61" s="8" t="inlineStr">
        <is>
          <t>عميل مسجل دخول في التطبيق</t>
        </is>
      </c>
      <c r="G61" s="8" t="inlineStr">
        <is>
          <t>1. افتح التطبيق
2. اذهب للبروفايل</t>
        </is>
      </c>
      <c r="H61" s="8" t="inlineStr">
        <is>
          <t>JWT client</t>
        </is>
      </c>
      <c r="I61" s="8" t="inlineStr">
        <is>
          <t>1. 200
2. عرض بيانات الحساب
3. clientId من JWT تلقائياً</t>
        </is>
      </c>
      <c r="K61" t="inlineStr">
        <is>
          <t>P1-High</t>
        </is>
      </c>
      <c r="L61" t="inlineStr">
        <is>
          <t>Not Started</t>
        </is>
      </c>
      <c r="M61" t="inlineStr">
        <is>
          <t>Staging</t>
        </is>
      </c>
      <c r="P61" s="8" t="n"/>
    </row>
    <row r="62">
      <c r="A62" t="inlineStr">
        <is>
          <t>CL-061</t>
        </is>
      </c>
      <c r="B62" t="inlineStr">
        <is>
          <t>Clients (العملاء)</t>
        </is>
      </c>
      <c r="C62" t="inlineStr">
        <is>
          <t>Positive</t>
        </is>
      </c>
      <c r="D62" s="8" t="inlineStr">
        <is>
          <t>Mobile - تحديث البروفايل</t>
        </is>
      </c>
      <c r="E62" s="8" t="inlineStr">
        <is>
          <t>PATCH /mobile/client/profile</t>
        </is>
      </c>
      <c r="F62" s="8" t="inlineStr">
        <is>
          <t>—</t>
        </is>
      </c>
      <c r="G62" s="8" t="inlineStr">
        <is>
          <t>1. الإعدادات
2. عدّل اسم أو جوال
3. احفظ</t>
        </is>
      </c>
      <c r="H62" s="8" t="inlineStr">
        <is>
          <t>name=أحمد محمد</t>
        </is>
      </c>
      <c r="I62" s="8" t="inlineStr">
        <is>
          <t>1. 200
2. name يُفكّك إلى firstName/lastName
3. قواعد phone/email نفسها</t>
        </is>
      </c>
      <c r="K62" t="inlineStr">
        <is>
          <t>P1-High</t>
        </is>
      </c>
      <c r="L62" t="inlineStr">
        <is>
          <t>Not Started</t>
        </is>
      </c>
      <c r="M62" t="inlineStr">
        <is>
          <t>Staging</t>
        </is>
      </c>
      <c r="P62" s="8" t="n"/>
    </row>
    <row r="63">
      <c r="A63" t="inlineStr">
        <is>
          <t>CL-062</t>
        </is>
      </c>
      <c r="B63" t="inlineStr">
        <is>
          <t>Clients (العملاء)</t>
        </is>
      </c>
      <c r="C63" t="inlineStr">
        <is>
          <t>Negative</t>
        </is>
      </c>
      <c r="D63" s="8" t="inlineStr">
        <is>
          <t>Mobile - بدون JWT (401)</t>
        </is>
      </c>
      <c r="E63" s="8" t="inlineStr">
        <is>
          <t>—</t>
        </is>
      </c>
      <c r="F63" s="8" t="inlineStr">
        <is>
          <t>logout</t>
        </is>
      </c>
      <c r="G63" s="8" t="inlineStr">
        <is>
          <t>1. محاولة GET /mobile/client/profile</t>
        </is>
      </c>
      <c r="H63" s="8" t="inlineStr">
        <is>
          <t>—</t>
        </is>
      </c>
      <c r="I63" s="8" t="inlineStr">
        <is>
          <t>1. 401 Unauthorized
2. إعادة التوجيه لتسجيل الدخول</t>
        </is>
      </c>
      <c r="K63" t="inlineStr">
        <is>
          <t>P1-High</t>
        </is>
      </c>
      <c r="L63" t="inlineStr">
        <is>
          <t>Not Started</t>
        </is>
      </c>
      <c r="M63" t="inlineStr">
        <is>
          <t>Staging</t>
        </is>
      </c>
      <c r="P63" s="8" t="n"/>
    </row>
    <row r="64">
      <c r="A64" t="inlineStr">
        <is>
          <t>CL-063</t>
        </is>
      </c>
      <c r="B64" t="inlineStr">
        <is>
          <t>Clients (العملاء)</t>
        </is>
      </c>
      <c r="C64" t="inlineStr">
        <is>
          <t>Negative</t>
        </is>
      </c>
      <c r="D64" s="8" t="inlineStr">
        <is>
          <t>Mobile - العميل محذوف (404)</t>
        </is>
      </c>
      <c r="E64" s="8" t="inlineStr">
        <is>
          <t>deletedAt filter</t>
        </is>
      </c>
      <c r="F64" s="8" t="inlineStr">
        <is>
          <t>—</t>
        </is>
      </c>
      <c r="G64" s="8" t="inlineStr">
        <is>
          <t>1. GET /mobile/client/profile</t>
        </is>
      </c>
      <c r="H64" s="8" t="inlineStr">
        <is>
          <t>—</t>
        </is>
      </c>
      <c r="I64" s="8" t="inlineStr">
        <is>
          <t>1. 404</t>
        </is>
      </c>
      <c r="K64" t="inlineStr">
        <is>
          <t>P2-Medium</t>
        </is>
      </c>
      <c r="L64" t="inlineStr">
        <is>
          <t>Not Started</t>
        </is>
      </c>
      <c r="M64" t="inlineStr">
        <is>
          <t>Staging</t>
        </is>
      </c>
      <c r="P64" s="8" t="n"/>
    </row>
    <row r="65">
      <c r="A65" t="inlineStr">
        <is>
          <t>CL-064</t>
        </is>
      </c>
      <c r="B65" t="inlineStr">
        <is>
          <t>Clients (العملاء)</t>
        </is>
      </c>
      <c r="C65" t="inlineStr">
        <is>
          <t>Negative</t>
        </is>
      </c>
      <c r="D65" s="8" t="inlineStr">
        <is>
          <t>Mobile - محاولة تعديل clientId غير clientId الـ JWT</t>
        </is>
      </c>
      <c r="E65" s="8" t="inlineStr">
        <is>
          <t>الـ controller يجبر clientId من user.sub</t>
        </is>
      </c>
      <c r="F65" s="8" t="inlineStr">
        <is>
          <t>—</t>
        </is>
      </c>
      <c r="G65" s="8" t="inlineStr">
        <is>
          <t>1. PATCH مع body.clientId مختلف</t>
        </is>
      </c>
      <c r="H65" s="8" t="inlineStr">
        <is>
          <t>body.clientId=other</t>
        </is>
      </c>
      <c r="I65" s="8" t="inlineStr">
        <is>
          <t>1. يُتجاهل ويُستبدل بـ user.sub
2. لا وصول لسجلات غيره</t>
        </is>
      </c>
      <c r="K65" t="inlineStr">
        <is>
          <t>P1-High</t>
        </is>
      </c>
      <c r="L65" t="inlineStr">
        <is>
          <t>Not Started</t>
        </is>
      </c>
      <c r="M65" t="inlineStr">
        <is>
          <t>Staging</t>
        </is>
      </c>
      <c r="P65" s="8" t="n"/>
    </row>
    <row r="66">
      <c r="A66" t="inlineStr">
        <is>
          <t>CL-065</t>
        </is>
      </c>
      <c r="B66" t="inlineStr">
        <is>
          <t>Clients (العملاء)</t>
        </is>
      </c>
      <c r="C66" t="inlineStr">
        <is>
          <t>Positive</t>
        </is>
      </c>
      <c r="D66" s="8" t="inlineStr">
        <is>
          <t>Mobile - تسجيل خروج العميل</t>
        </is>
      </c>
      <c r="E66" s="8" t="inlineStr">
        <is>
          <t>Logout flow</t>
        </is>
      </c>
      <c r="F66" s="8" t="inlineStr">
        <is>
          <t>—</t>
        </is>
      </c>
      <c r="G66" s="8" t="inlineStr">
        <is>
          <t>1. البروفايل
2. اضغط تسجيل الخروج
3. تأكيد</t>
        </is>
      </c>
      <c r="H66" s="8" t="inlineStr">
        <is>
          <t>—</t>
        </is>
      </c>
      <c r="I66" s="8" t="inlineStr">
        <is>
          <t>1. حوار تأكيد
2. مسح التوكن
3. redirect /auth/login</t>
        </is>
      </c>
      <c r="K66" t="inlineStr">
        <is>
          <t>P2-Medium</t>
        </is>
      </c>
      <c r="L66" t="inlineStr">
        <is>
          <t>Not Started</t>
        </is>
      </c>
      <c r="M66" t="inlineStr">
        <is>
          <t>Staging</t>
        </is>
      </c>
      <c r="P66" s="8" t="n"/>
    </row>
    <row r="67">
      <c r="A67" t="inlineStr">
        <is>
          <t>CL-066</t>
        </is>
      </c>
      <c r="B67" t="inlineStr">
        <is>
          <t>Clients (العملاء)</t>
        </is>
      </c>
      <c r="C67" t="inlineStr">
        <is>
          <t>Positive</t>
        </is>
      </c>
      <c r="D67" s="8" t="inlineStr">
        <is>
          <t>RTL - phone/email بـ dir=ltr</t>
        </is>
      </c>
      <c r="E67" s="8" t="inlineStr">
        <is>
          <t>تنسيق الأرقام والبريد بـ LTR داخل صفحة RTL</t>
        </is>
      </c>
      <c r="F67" s="8" t="inlineStr">
        <is>
          <t>—</t>
        </is>
      </c>
      <c r="G67" s="8" t="inlineStr">
        <is>
          <t>1. افتح تفاصيل عميل</t>
        </is>
      </c>
      <c r="H67" s="8" t="inlineStr">
        <is>
          <t>—</t>
        </is>
      </c>
      <c r="I67" s="8" t="inlineStr">
        <is>
          <t>1. رقم الجوال LTR
2. البريد LTR
3. الهوية LTR</t>
        </is>
      </c>
      <c r="K67" t="inlineStr">
        <is>
          <t>P2-Medium</t>
        </is>
      </c>
      <c r="L67" t="inlineStr">
        <is>
          <t>Not Started</t>
        </is>
      </c>
      <c r="M67" t="inlineStr">
        <is>
          <t>Staging</t>
        </is>
      </c>
      <c r="P67" s="8" t="n"/>
    </row>
    <row r="68">
      <c r="A68" t="inlineStr">
        <is>
          <t>CL-067</t>
        </is>
      </c>
      <c r="B68" t="inlineStr">
        <is>
          <t>Clients (العملاء)</t>
        </is>
      </c>
      <c r="C68" t="inlineStr">
        <is>
          <t>Positive</t>
        </is>
      </c>
      <c r="D68" s="8" t="inlineStr">
        <is>
          <t>RTL - ترتيب الـ Tabs RTL</t>
        </is>
      </c>
      <c r="E68" s="8" t="inlineStr">
        <is>
          <t>dir=rtl on tabs</t>
        </is>
      </c>
      <c r="F68" s="8" t="inlineStr">
        <is>
          <t>—</t>
        </is>
      </c>
      <c r="G68" s="8" t="inlineStr">
        <is>
          <t>1. افتح detail</t>
        </is>
      </c>
      <c r="H68" s="8" t="inlineStr">
        <is>
          <t>—</t>
        </is>
      </c>
      <c r="I68" s="8" t="inlineStr">
        <is>
          <t>1. الترتيب معكوس صحيح</t>
        </is>
      </c>
      <c r="K68" t="inlineStr">
        <is>
          <t>P3-Low</t>
        </is>
      </c>
      <c r="L68" t="inlineStr">
        <is>
          <t>Not Started</t>
        </is>
      </c>
      <c r="M68" t="inlineStr">
        <is>
          <t>Staging</t>
        </is>
      </c>
      <c r="P68" s="8" t="n"/>
    </row>
    <row r="69">
      <c r="A69" t="inlineStr">
        <is>
          <t>CL-068</t>
        </is>
      </c>
      <c r="B69" t="inlineStr">
        <is>
          <t>Clients (العملاء)</t>
        </is>
      </c>
      <c r="C69" t="inlineStr">
        <is>
          <t>Positive</t>
        </is>
      </c>
      <c r="D69" s="8" t="inlineStr">
        <is>
          <t>Double-click submit - طلب واحد</t>
        </is>
      </c>
      <c r="E69" s="8" t="inlineStr">
        <is>
          <t>mutation.isPending يمنع المكرر</t>
        </is>
      </c>
      <c r="F69" s="8" t="inlineStr">
        <is>
          <t>—</t>
        </is>
      </c>
      <c r="G69" s="8" t="inlineStr">
        <is>
          <t>1. اضغط زر الحفظ مرتين بسرعة</t>
        </is>
      </c>
      <c r="H69" s="8" t="inlineStr">
        <is>
          <t>—</t>
        </is>
      </c>
      <c r="I69" s="8" t="inlineStr">
        <is>
          <t>1. طلب واحد فقط يُرسل</t>
        </is>
      </c>
      <c r="K69" t="inlineStr">
        <is>
          <t>P2-Medium</t>
        </is>
      </c>
      <c r="L69" t="inlineStr">
        <is>
          <t>Not Started</t>
        </is>
      </c>
      <c r="M69" t="inlineStr">
        <is>
          <t>Staging</t>
        </is>
      </c>
      <c r="P69" s="8" t="n"/>
    </row>
    <row r="70">
      <c r="A70" t="inlineStr">
        <is>
          <t>CL-069</t>
        </is>
      </c>
      <c r="B70" t="inlineStr">
        <is>
          <t>Clients (العملاء)</t>
        </is>
      </c>
      <c r="C70" t="inlineStr">
        <is>
          <t>Positive</t>
        </is>
      </c>
      <c r="D70" s="8" t="inlineStr">
        <is>
          <t>Debounced search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1. اكتب 5 حروف بسرعة</t>
        </is>
      </c>
      <c r="H70" s="8" t="inlineStr">
        <is>
          <t>—</t>
        </is>
      </c>
      <c r="I70" s="8" t="inlineStr">
        <is>
          <t>1. طلب واحد بآخر قيمة</t>
        </is>
      </c>
      <c r="K70" t="inlineStr">
        <is>
          <t>P2-Medium</t>
        </is>
      </c>
      <c r="L70" t="inlineStr">
        <is>
          <t>Not Started</t>
        </is>
      </c>
      <c r="M70" t="inlineStr">
        <is>
          <t>Staging</t>
        </is>
      </c>
      <c r="P70" s="8" t="n"/>
    </row>
    <row r="71">
      <c r="A71" t="inlineStr">
        <is>
          <t>CL-070</t>
        </is>
      </c>
      <c r="B71" t="inlineStr">
        <is>
          <t>Clients (العملاء)</t>
        </is>
      </c>
      <c r="C71" t="inlineStr">
        <is>
          <t>Negative</t>
        </is>
      </c>
      <c r="D71" s="8" t="inlineStr">
        <is>
          <t>خطأ شبكة - إنشاء</t>
        </is>
      </c>
      <c r="E71" s="8" t="inlineStr">
        <is>
          <t>—</t>
        </is>
      </c>
      <c r="F71" s="8" t="inlineStr">
        <is>
          <t>قطع الاتصال</t>
        </is>
      </c>
      <c r="G71" s="8" t="inlineStr">
        <is>
          <t>1. احفظ نموذج إنشاء</t>
        </is>
      </c>
      <c r="H71" s="8" t="inlineStr">
        <is>
          <t>—</t>
        </is>
      </c>
      <c r="I71" s="8" t="inlineStr">
        <is>
          <t>1. Toast خطأ
2. البقاء بالنموذج
3. لا فقدان بيانات</t>
        </is>
      </c>
      <c r="K71" t="inlineStr">
        <is>
          <t>P1-High</t>
        </is>
      </c>
      <c r="L71" t="inlineStr">
        <is>
          <t>Not Started</t>
        </is>
      </c>
      <c r="M71" t="inlineStr">
        <is>
          <t>Staging</t>
        </is>
      </c>
      <c r="P71" s="8" t="n"/>
    </row>
    <row r="72">
      <c r="A72" t="inlineStr">
        <is>
          <t>CL-071</t>
        </is>
      </c>
      <c r="B72" t="inlineStr">
        <is>
          <t>Clients (العملاء)</t>
        </is>
      </c>
      <c r="C72" t="inlineStr">
        <is>
          <t>Negative</t>
        </is>
      </c>
      <c r="D72" s="8" t="inlineStr">
        <is>
          <t>خطأ شبكة - قائمة</t>
        </is>
      </c>
      <c r="E72" s="8" t="inlineStr">
        <is>
          <t>—</t>
        </is>
      </c>
      <c r="F72" s="8" t="inlineStr">
        <is>
          <t>قطع الاتصال</t>
        </is>
      </c>
      <c r="G72" s="8" t="inlineStr">
        <is>
          <t>1. افتح /clients</t>
        </is>
      </c>
      <c r="H72" s="8" t="inlineStr">
        <is>
          <t>—</t>
        </is>
      </c>
      <c r="I72" s="8" t="inlineStr">
        <is>
          <t>1. Error Banner
2. لا كراش</t>
        </is>
      </c>
      <c r="K72" t="inlineStr">
        <is>
          <t>P2-Medium</t>
        </is>
      </c>
      <c r="L72" t="inlineStr">
        <is>
          <t>Not Started</t>
        </is>
      </c>
      <c r="M72" t="inlineStr">
        <is>
          <t>Staging</t>
        </is>
      </c>
      <c r="P72" s="8" t="n"/>
    </row>
    <row r="73">
      <c r="A73" t="inlineStr">
        <is>
          <t>CL-072</t>
        </is>
      </c>
      <c r="B73" t="inlineStr">
        <is>
          <t>Clients (العملاء)</t>
        </is>
      </c>
      <c r="C73" t="inlineStr">
        <is>
          <t>Negative</t>
        </is>
      </c>
      <c r="D73" s="8" t="inlineStr">
        <is>
          <t>خطأ 500 من الخادم</t>
        </is>
      </c>
      <c r="E73" s="8" t="inlineStr">
        <is>
          <t>—</t>
        </is>
      </c>
      <c r="F73" s="8" t="inlineStr">
        <is>
          <t>خادم يُعيد 500</t>
        </is>
      </c>
      <c r="G73" s="8" t="inlineStr">
        <is>
          <t>1. عند أي عملية</t>
        </is>
      </c>
      <c r="H73" s="8" t="inlineStr">
        <is>
          <t>—</t>
        </is>
      </c>
      <c r="I73" s="8" t="inlineStr">
        <is>
          <t>1. Toast/Banner: رسالة عامة
2. لا تعطّل التطبيق</t>
        </is>
      </c>
      <c r="K73" t="inlineStr">
        <is>
          <t>P2-Medium</t>
        </is>
      </c>
      <c r="L73" t="inlineStr">
        <is>
          <t>Not Started</t>
        </is>
      </c>
      <c r="M73" t="inlineStr">
        <is>
          <t>Staging</t>
        </is>
      </c>
      <c r="P73" s="8" t="n"/>
    </row>
    <row r="74">
      <c r="A74" t="inlineStr">
        <is>
          <t>CL-073</t>
        </is>
      </c>
      <c r="B74" t="inlineStr">
        <is>
          <t>Clients (العملاء)</t>
        </is>
      </c>
      <c r="C74" t="inlineStr">
        <is>
          <t>Negative</t>
        </is>
      </c>
      <c r="D74" s="8" t="inlineStr">
        <is>
          <t>Stale data بعد 5 دقائق</t>
        </is>
      </c>
      <c r="E74" s="8" t="inlineStr">
        <is>
          <t>staleTime=5m list, 10m detail</t>
        </is>
      </c>
      <c r="F74" s="8" t="inlineStr">
        <is>
          <t>—</t>
        </is>
      </c>
      <c r="G74" s="8" t="inlineStr">
        <is>
          <t>1. افتح /clients
2. انتظر 5 دقائق
3. ارجع للصفحة</t>
        </is>
      </c>
      <c r="H74" s="8" t="inlineStr">
        <is>
          <t>—</t>
        </is>
      </c>
      <c r="I74" s="8" t="inlineStr">
        <is>
          <t>1. إعادة الجلب تلقائياً</t>
        </is>
      </c>
      <c r="K74" t="inlineStr">
        <is>
          <t>P3-Low</t>
        </is>
      </c>
      <c r="L74" t="inlineStr">
        <is>
          <t>Not Started</t>
        </is>
      </c>
      <c r="M74" t="inlineStr">
        <is>
          <t>Staging</t>
        </is>
      </c>
      <c r="P74" s="8" t="n"/>
    </row>
    <row r="75">
      <c r="A75" t="inlineStr">
        <is>
          <t>CL-074</t>
        </is>
      </c>
      <c r="B75" t="inlineStr">
        <is>
          <t>Clients (العملاء)</t>
        </is>
      </c>
      <c r="C75" t="inlineStr">
        <is>
          <t>Positive</t>
        </is>
      </c>
      <c r="D75" s="8" t="inlineStr">
        <is>
          <t>Skeleton أثناء التحميل الأول</t>
        </is>
      </c>
      <c r="E75" s="8" t="inlineStr">
        <is>
          <t>5 صفوف h-12</t>
        </is>
      </c>
      <c r="F75" s="8" t="inlineStr">
        <is>
          <t>—</t>
        </is>
      </c>
      <c r="G75" s="8" t="inlineStr">
        <is>
          <t>1. افتح /clients أول مرة</t>
        </is>
      </c>
      <c r="H75" s="8" t="inlineStr">
        <is>
          <t>—</t>
        </is>
      </c>
      <c r="I75" s="8" t="inlineStr">
        <is>
          <t>1. skeletons 5
2. StatsGrid skeletons إذا وجدت</t>
        </is>
      </c>
      <c r="K75" t="inlineStr">
        <is>
          <t>P3-Low</t>
        </is>
      </c>
      <c r="L75" t="inlineStr">
        <is>
          <t>Not Started</t>
        </is>
      </c>
      <c r="M75" t="inlineStr">
        <is>
          <t>Staging</t>
        </is>
      </c>
      <c r="P75" s="8" t="n"/>
    </row>
    <row r="76">
      <c r="A76" t="inlineStr">
        <is>
          <t>CL-075</t>
        </is>
      </c>
      <c r="B76" t="inlineStr">
        <is>
          <t>Clients (العملاء)</t>
        </is>
      </c>
      <c r="C76" t="inlineStr">
        <is>
          <t>Negative</t>
        </is>
      </c>
      <c r="D76" s="8" t="inlineStr">
        <is>
          <t>عرض الأحرف الأولى بأسماء عربية</t>
        </is>
      </c>
      <c r="E76" s="8" t="inlineStr">
        <is>
          <t>Avatar initials مع Unicode</t>
        </is>
      </c>
      <c r="F76" s="8" t="inlineStr">
        <is>
          <t>—</t>
        </is>
      </c>
      <c r="G76" s="8" t="inlineStr">
        <is>
          <t>1. افتح عميل باسم عربي</t>
        </is>
      </c>
      <c r="H76" s="8" t="inlineStr">
        <is>
          <t>firstName=أحمد, lastName=السعيد</t>
        </is>
      </c>
      <c r="I76" s="8" t="inlineStr">
        <is>
          <t>1. الأحرف تظهر صحيحة (أ + ا)</t>
        </is>
      </c>
      <c r="K76" t="inlineStr">
        <is>
          <t>P3-Low</t>
        </is>
      </c>
      <c r="L76" t="inlineStr">
        <is>
          <t>Not Started</t>
        </is>
      </c>
      <c r="M76" t="inlineStr">
        <is>
          <t>Staging</t>
        </is>
      </c>
      <c r="P76" s="8" t="n"/>
    </row>
    <row r="77">
      <c r="A77" t="inlineStr">
        <is>
          <t>CL-076</t>
        </is>
      </c>
      <c r="B77" t="inlineStr">
        <is>
          <t>Clients (العملاء)</t>
        </is>
      </c>
      <c r="C77" t="inlineStr">
        <is>
          <t>Positive</t>
        </is>
      </c>
      <c r="D77" s="8" t="inlineStr">
        <is>
          <t>فرز - localeCompare عربي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1. اضغط فرز على الاسم</t>
        </is>
      </c>
      <c r="H77" s="8" t="inlineStr">
        <is>
          <t>—</t>
        </is>
      </c>
      <c r="I77" s="8" t="inlineStr">
        <is>
          <t>1. ترتيب عربي صحيح</t>
        </is>
      </c>
      <c r="K77" t="inlineStr">
        <is>
          <t>P3-Low</t>
        </is>
      </c>
      <c r="L77" t="inlineStr">
        <is>
          <t>Not Started</t>
        </is>
      </c>
      <c r="M77" t="inlineStr">
        <is>
          <t>Staging</t>
        </is>
      </c>
      <c r="P77" s="8" t="n"/>
    </row>
    <row r="78">
      <c r="A78" t="inlineStr">
        <is>
          <t>CL-077</t>
        </is>
      </c>
      <c r="B78" t="inlineStr">
        <is>
          <t>Clients (العملاء)</t>
        </is>
      </c>
      <c r="C78" t="inlineStr">
        <is>
          <t>Positive</t>
        </is>
      </c>
      <c r="D78" s="8" t="inlineStr">
        <is>
          <t>Employee يعرض سجل العميل</t>
        </is>
      </c>
      <c r="E78" s="8" t="inlineStr">
        <is>
          <t>GET /mobile/employee/clients/:id/history</t>
        </is>
      </c>
      <c r="F78" s="8" t="inlineStr">
        <is>
          <t>employee مسجّل + حجوزات مع clientId</t>
        </is>
      </c>
      <c r="G78" s="8" t="inlineStr">
        <is>
          <t>1. API call</t>
        </is>
      </c>
      <c r="H78" s="8" t="inlineStr">
        <is>
          <t>clientId=X</t>
        </is>
      </c>
      <c r="I78" s="8" t="inlineStr">
        <is>
          <t>1. آخر 20 حجز
2. كل الحالات
3. scheduledAt DESC</t>
        </is>
      </c>
      <c r="K78" t="inlineStr">
        <is>
          <t>P2-Medium</t>
        </is>
      </c>
      <c r="L78" t="inlineStr">
        <is>
          <t>Not Started</t>
        </is>
      </c>
      <c r="M78" t="inlineStr">
        <is>
          <t>Staging</t>
        </is>
      </c>
      <c r="P78" s="8" t="n"/>
    </row>
    <row r="79">
      <c r="A79" t="inlineStr">
        <is>
          <t>CL-078</t>
        </is>
      </c>
      <c r="B79" t="inlineStr">
        <is>
          <t>Clients (العملاء)</t>
        </is>
      </c>
      <c r="C79" t="inlineStr">
        <is>
          <t>Positive</t>
        </is>
      </c>
      <c r="D79" s="8" t="inlineStr">
        <is>
          <t>Employee يعرض قائمة عملائه</t>
        </is>
      </c>
      <c r="E79" s="8" t="inlineStr">
        <is>
          <t>GET /mobile/employee/clients</t>
        </is>
      </c>
      <c r="F79" s="8" t="inlineStr">
        <is>
          <t>—</t>
        </is>
      </c>
      <c r="G79" s="8" t="inlineStr">
        <is>
          <t>1. API call</t>
        </is>
      </c>
      <c r="H79" s="8" t="inlineStr">
        <is>
          <t>—</t>
        </is>
      </c>
      <c r="I79" s="8" t="inlineStr">
        <is>
          <t>1. عملاء distinct من حجوزاته
2. ترتيب الاسم ASC
3. pagination</t>
        </is>
      </c>
      <c r="K79" t="inlineStr">
        <is>
          <t>P2-Medium</t>
        </is>
      </c>
      <c r="L79" t="inlineStr">
        <is>
          <t>Not Started</t>
        </is>
      </c>
      <c r="M79" t="inlineStr">
        <is>
          <t>Staging</t>
        </is>
      </c>
      <c r="P79" s="8" t="n"/>
    </row>
    <row r="80">
      <c r="A80" t="inlineStr">
        <is>
          <t>CL-079</t>
        </is>
      </c>
      <c r="B80" t="inlineStr">
        <is>
          <t>Clients (العملاء)</t>
        </is>
      </c>
      <c r="C80" t="inlineStr">
        <is>
          <t>Positive</t>
        </is>
      </c>
      <c r="D80" s="8" t="inlineStr">
        <is>
          <t>تقييم عميل لموظف (rating)</t>
        </is>
      </c>
      <c r="E80" s="8" t="inlineStr">
        <is>
          <t>one per booking</t>
        </is>
      </c>
      <c r="F80" s="8" t="inlineStr">
        <is>
          <t>booking مكتمل بدون تقييم</t>
        </is>
      </c>
      <c r="G80" s="8" t="inlineStr">
        <is>
          <t>1. POST /ratings
2. score=5, comment</t>
        </is>
      </c>
      <c r="H80" s="8" t="inlineStr">
        <is>
          <t>bookingId, score=5</t>
        </is>
      </c>
      <c r="I80" s="8" t="inlineStr">
        <is>
          <t>1. 201
2. rating مخزّن</t>
        </is>
      </c>
      <c r="K80" t="inlineStr">
        <is>
          <t>P2-Medium</t>
        </is>
      </c>
      <c r="L80" t="inlineStr">
        <is>
          <t>Not Started</t>
        </is>
      </c>
      <c r="M80" t="inlineStr">
        <is>
          <t>Staging</t>
        </is>
      </c>
      <c r="P80" s="8" t="n"/>
    </row>
    <row r="81">
      <c r="A81" t="inlineStr">
        <is>
          <t>CL-080</t>
        </is>
      </c>
      <c r="B81" t="inlineStr">
        <is>
          <t>Clients (العملاء)</t>
        </is>
      </c>
      <c r="C81" t="inlineStr">
        <is>
          <t>Negative</t>
        </is>
      </c>
      <c r="D81" s="8" t="inlineStr">
        <is>
          <t>تقييم - score خارج النطاق (0 أو 6)</t>
        </is>
      </c>
      <c r="E81" s="8" t="inlineStr">
        <is>
          <t>1-5</t>
        </is>
      </c>
      <c r="F81" s="8" t="inlineStr">
        <is>
          <t>—</t>
        </is>
      </c>
      <c r="G81" s="8" t="inlineStr">
        <is>
          <t>1. score=0 ثم 6</t>
        </is>
      </c>
      <c r="H81" s="8" t="inlineStr">
        <is>
          <t>—</t>
        </is>
      </c>
      <c r="I81" s="8" t="inlineStr">
        <is>
          <t>1. 400 Bad Request</t>
        </is>
      </c>
      <c r="K81" t="inlineStr">
        <is>
          <t>P2-Medium</t>
        </is>
      </c>
      <c r="L81" t="inlineStr">
        <is>
          <t>Not Started</t>
        </is>
      </c>
      <c r="M81" t="inlineStr">
        <is>
          <t>Staging</t>
        </is>
      </c>
      <c r="P81" s="8" t="n"/>
    </row>
    <row r="82">
      <c r="A82" t="inlineStr">
        <is>
          <t>CL-081</t>
        </is>
      </c>
      <c r="B82" t="inlineStr">
        <is>
          <t>Clients (العملاء)</t>
        </is>
      </c>
      <c r="C82" t="inlineStr">
        <is>
          <t>Negative</t>
        </is>
      </c>
      <c r="D82" s="8" t="inlineStr">
        <is>
          <t>تقييم - مكرر لنفس الحجز</t>
        </is>
      </c>
      <c r="E82" s="8" t="inlineStr">
        <is>
          <t>bookingId unique</t>
        </is>
      </c>
      <c r="F82" s="8" t="inlineStr">
        <is>
          <t>تقييم موجود</t>
        </is>
      </c>
      <c r="G82" s="8" t="inlineStr">
        <is>
          <t>1. POST ثانٍ بنفس bookingId</t>
        </is>
      </c>
      <c r="H82" s="8" t="inlineStr">
        <is>
          <t>—</t>
        </is>
      </c>
      <c r="I82" s="8" t="inlineStr">
        <is>
          <t>1. 409 Conflict</t>
        </is>
      </c>
      <c r="K82" t="inlineStr">
        <is>
          <t>P2-Medium</t>
        </is>
      </c>
      <c r="L82" t="inlineStr">
        <is>
          <t>Not Started</t>
        </is>
      </c>
      <c r="M82" t="inlineStr">
        <is>
          <t>Staging</t>
        </is>
      </c>
      <c r="P82" s="8" t="n"/>
    </row>
    <row r="83">
      <c r="A83" t="inlineStr">
        <is>
          <t>CL-082</t>
        </is>
      </c>
      <c r="B83" t="inlineStr">
        <is>
          <t>Clients (العملاء)</t>
        </is>
      </c>
      <c r="C83" t="inlineStr">
        <is>
          <t>Negative</t>
        </is>
      </c>
      <c r="D83" s="8" t="inlineStr">
        <is>
          <t>Concurrency - إنشاء بنفس الجوال متزامناً</t>
        </is>
      </c>
      <c r="E83" s="8" t="inlineStr">
        <is>
          <t>two requests same phone</t>
        </is>
      </c>
      <c r="F83" s="8" t="inlineStr">
        <is>
          <t>—</t>
        </is>
      </c>
      <c r="G83" s="8" t="inlineStr">
        <is>
          <t>1. أرسل POST بنفس الجوال من 2 clients</t>
        </is>
      </c>
      <c r="H83" s="8" t="inlineStr">
        <is>
          <t>—</t>
        </is>
      </c>
      <c r="I83" s="8" t="inlineStr">
        <is>
          <t>1. واحد ينجح + الآخر 409
2. لا ازدواجية DB (unique constraint)</t>
        </is>
      </c>
      <c r="K83" t="inlineStr">
        <is>
          <t>P2-Medium</t>
        </is>
      </c>
      <c r="L83" t="inlineStr">
        <is>
          <t>Not Started</t>
        </is>
      </c>
      <c r="M83" t="inlineStr">
        <is>
          <t>Staging</t>
        </is>
      </c>
      <c r="P83" s="8" t="n"/>
    </row>
    <row r="84">
      <c r="A84" t="inlineStr">
        <is>
          <t>CL-083</t>
        </is>
      </c>
      <c r="B84" t="inlineStr">
        <is>
          <t>Clients (العملاء)</t>
        </is>
      </c>
      <c r="C84" t="inlineStr">
        <is>
          <t>Negative</t>
        </is>
      </c>
      <c r="D84" s="8" t="inlineStr">
        <is>
          <t>SQL/NoSQL injection في search</t>
        </is>
      </c>
      <c r="E84" s="8" t="inlineStr">
        <is>
          <t>Prisma يستخدم prepared statements</t>
        </is>
      </c>
      <c r="F84" s="8" t="inlineStr">
        <is>
          <t>—</t>
        </is>
      </c>
      <c r="G84" s="8" t="inlineStr">
        <is>
          <t>1. search=' OR 1=1 --</t>
        </is>
      </c>
      <c r="H84" s="8" t="inlineStr">
        <is>
          <t>—</t>
        </is>
      </c>
      <c r="I84" s="8" t="inlineStr">
        <is>
          <t>1. لا تنفيذ SQL
2. بحث آمن</t>
        </is>
      </c>
      <c r="K84" t="inlineStr">
        <is>
          <t>P1-High</t>
        </is>
      </c>
      <c r="L84" t="inlineStr">
        <is>
          <t>Not Started</t>
        </is>
      </c>
      <c r="M84" t="inlineStr">
        <is>
          <t>Staging</t>
        </is>
      </c>
      <c r="P84" s="8" t="n"/>
    </row>
    <row r="85">
      <c r="A85" t="inlineStr">
        <is>
          <t>CL-084</t>
        </is>
      </c>
      <c r="B85" t="inlineStr">
        <is>
          <t>Clients (العملاء)</t>
        </is>
      </c>
      <c r="C85" t="inlineStr">
        <is>
          <t>Negative</t>
        </is>
      </c>
      <c r="D85" s="8" t="inlineStr">
        <is>
          <t>XSS في الاسم أو notes</t>
        </is>
      </c>
      <c r="E85" s="8" t="inlineStr">
        <is>
          <t>React يُهرب تلقائياً</t>
        </is>
      </c>
      <c r="F85" s="8" t="inlineStr">
        <is>
          <t>—</t>
        </is>
      </c>
      <c r="G85" s="8" t="inlineStr">
        <is>
          <t>1. أنشئ عميل باسم &lt;script&gt;alert(1)&lt;/script&gt;</t>
        </is>
      </c>
      <c r="H85" s="8" t="inlineStr">
        <is>
          <t>—</t>
        </is>
      </c>
      <c r="I85" s="8" t="inlineStr">
        <is>
          <t>1. النص يُعرض حرفياً
2. لا تنفيذ</t>
        </is>
      </c>
      <c r="K85" t="inlineStr">
        <is>
          <t>P1-High</t>
        </is>
      </c>
      <c r="L85" t="inlineStr">
        <is>
          <t>Not Started</t>
        </is>
      </c>
      <c r="M85" t="inlineStr">
        <is>
          <t>Staging</t>
        </is>
      </c>
      <c r="P85" s="8" t="n"/>
    </row>
    <row r="86">
      <c r="A86" t="inlineStr">
        <is>
          <t>CL-085</t>
        </is>
      </c>
      <c r="B86" t="inlineStr">
        <is>
          <t>Clients (العملاء)</t>
        </is>
      </c>
      <c r="C86" t="inlineStr">
        <is>
          <t>Negative</t>
        </is>
      </c>
      <c r="D86" s="8" t="inlineStr">
        <is>
          <t>CSRF - طلب من دومين آخر</t>
        </is>
      </c>
      <c r="E86" s="8" t="inlineStr">
        <is>
          <t>JWT Bearer فقط</t>
        </is>
      </c>
      <c r="F86" s="8" t="inlineStr">
        <is>
          <t>—</t>
        </is>
      </c>
      <c r="G86" s="8" t="inlineStr">
        <is>
          <t>1. طلب من origin آخر</t>
        </is>
      </c>
      <c r="H86" s="8" t="inlineStr">
        <is>
          <t>—</t>
        </is>
      </c>
      <c r="I86" s="8" t="inlineStr">
        <is>
          <t>1. CORS يرفض أو لا JWT → 401</t>
        </is>
      </c>
      <c r="K86" t="inlineStr">
        <is>
          <t>P1-High</t>
        </is>
      </c>
      <c r="L86" t="inlineStr">
        <is>
          <t>Not Started</t>
        </is>
      </c>
      <c r="M86" t="inlineStr">
        <is>
          <t>Staging</t>
        </is>
      </c>
      <c r="P86" s="8" t="n"/>
    </row>
  </sheetData>
  <autoFilter ref="A1:P1"/>
  <dataValidations count="4">
    <dataValidation sqref="K2:K500" showDropDown="0" showInputMessage="0" showErrorMessage="0" allowBlank="1" errorTitle="Invalid Priority" error="Please select a valid priority" type="list">
      <formula1>"P0-Critical,P1-High,P2-Medium,P3-Low"</formula1>
    </dataValidation>
    <dataValidation sqref="L2:L500" showDropDown="0" showInputMessage="0" showErrorMessage="0" allowBlank="1" errorTitle="Invalid Status" error="Please select a valid status" type="list">
      <formula1>"Not Started,In Progress,Pass,Fail,Blocked,Skipped"</formula1>
    </dataValidation>
    <dataValidation sqref="C2:C500" showDropDown="0" showInputMessage="0" showErrorMessage="0" allowBlank="1" type="list">
      <formula1>"Positive,Negative,Edge Case,Regression,Smoke,Integration"</formula1>
    </dataValidation>
    <dataValidation sqref="M2:M500" showDropDown="0" showInputMessage="0" showErrorMessage="0" allowBlank="1" type="list">
      <formula1>"Dev,Staging,Production"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3" t="inlineStr">
        <is>
          <t>E2E Test Summary</t>
        </is>
      </c>
    </row>
    <row r="3">
      <c r="A3" s="1" t="inlineStr">
        <is>
          <t>Metric</t>
        </is>
      </c>
      <c r="B3" s="1" t="inlineStr">
        <is>
          <t>Formula</t>
        </is>
      </c>
      <c r="C3" s="1" t="inlineStr">
        <is>
          <t>Value</t>
        </is>
      </c>
    </row>
    <row r="4">
      <c r="A4" s="4" t="inlineStr">
        <is>
          <t>Total Test Cases</t>
        </is>
      </c>
      <c r="B4" s="5">
        <f>COUNTA('E2E Test Cases'!A:A)-1</f>
        <v/>
      </c>
    </row>
    <row r="5">
      <c r="A5" s="4" t="inlineStr">
        <is>
          <t>Pass</t>
        </is>
      </c>
      <c r="B5" s="5">
        <f>COUNTIF('E2E Test Cases'!L:L,"Pass")</f>
        <v/>
      </c>
    </row>
    <row r="6">
      <c r="A6" s="4" t="inlineStr">
        <is>
          <t>Fail</t>
        </is>
      </c>
      <c r="B6" s="5">
        <f>COUNTIF('E2E Test Cases'!L:L,"Fail")</f>
        <v/>
      </c>
    </row>
    <row r="7">
      <c r="A7" s="4" t="inlineStr">
        <is>
          <t>Blocked</t>
        </is>
      </c>
      <c r="B7" s="5">
        <f>COUNTIF('E2E Test Cases'!L:L,"Blocked")</f>
        <v/>
      </c>
    </row>
    <row r="8">
      <c r="A8" s="4" t="inlineStr">
        <is>
          <t>Skipped</t>
        </is>
      </c>
      <c r="B8" s="5">
        <f>COUNTIF('E2E Test Cases'!L:L,"Skipped")</f>
        <v/>
      </c>
    </row>
    <row r="9">
      <c r="A9" s="4" t="inlineStr">
        <is>
          <t>Not Started</t>
        </is>
      </c>
      <c r="B9" s="5">
        <f>COUNTIF('E2E Test Cases'!L:L,"Not Started")</f>
        <v/>
      </c>
    </row>
    <row r="10">
      <c r="A10" s="4" t="inlineStr">
        <is>
          <t>In Progress</t>
        </is>
      </c>
      <c r="B10" s="5">
        <f>COUNTIF('E2E Test Cases'!L:L,"In Progress")</f>
        <v/>
      </c>
    </row>
    <row r="11">
      <c r="A11" s="6" t="inlineStr">
        <is>
          <t>Pass Rate (%)</t>
        </is>
      </c>
      <c r="B11" s="7">
        <f>IFERROR(B5/B4*100,0)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2026-04-14T19:27:16Z</dcterms:created>
  <dcterms:modified xsi:type="dcterms:W3CDTF">2026-04-14T19:39:39Z</dcterms:modified>
</cp:coreProperties>
</file>